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Repos\adelikat-tas\LodeRunner\"/>
    </mc:Choice>
  </mc:AlternateContent>
  <xr:revisionPtr revIDLastSave="0" documentId="13_ncr:1_{AF8E6A29-4E82-4EEC-BFCB-C57EBFD9CFDC}" xr6:coauthVersionLast="47" xr6:coauthVersionMax="47" xr10:uidLastSave="{00000000-0000-0000-0000-000000000000}"/>
  <bookViews>
    <workbookView xWindow="50415" yWindow="3555" windowWidth="7500" windowHeight="12285" xr2:uid="{00000000-000D-0000-FFFF-FFFF00000000}"/>
  </bookViews>
  <sheets>
    <sheet name="V7" sheetId="8" r:id="rId1"/>
    <sheet name="V6" sheetId="7" r:id="rId2"/>
    <sheet name="V5" sheetId="5" r:id="rId3"/>
    <sheet name="V4" sheetId="4" r:id="rId4"/>
    <sheet name="V3" sheetId="3" r:id="rId5"/>
    <sheet name="V2" sheetId="1" r:id="rId6"/>
    <sheet name="Takanawa Comparison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109" i="8" l="1"/>
  <c r="D110" i="8"/>
  <c r="D108" i="8"/>
  <c r="D107" i="8"/>
  <c r="D106" i="8"/>
  <c r="D309" i="7"/>
  <c r="D308" i="7"/>
  <c r="D307" i="7"/>
  <c r="D306" i="7"/>
  <c r="D81" i="8"/>
  <c r="D38" i="8"/>
  <c r="D37" i="8"/>
  <c r="D101" i="8"/>
  <c r="D100" i="8"/>
  <c r="D99" i="8"/>
  <c r="D98" i="8"/>
  <c r="D97" i="8"/>
  <c r="D96" i="8"/>
  <c r="D95" i="8"/>
  <c r="D94" i="8"/>
  <c r="D93" i="8"/>
  <c r="D92" i="8"/>
  <c r="D91" i="8"/>
  <c r="D90" i="8"/>
  <c r="D89" i="8"/>
  <c r="D88" i="8"/>
  <c r="D87" i="8"/>
  <c r="D86" i="8"/>
  <c r="D85" i="8"/>
  <c r="D84" i="8"/>
  <c r="D83" i="8"/>
  <c r="D82" i="8"/>
  <c r="D80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D70" i="8"/>
  <c r="D71" i="8"/>
  <c r="D72" i="8"/>
  <c r="D73" i="8"/>
  <c r="D74" i="8"/>
  <c r="D75" i="8"/>
  <c r="D76" i="8"/>
  <c r="D77" i="8"/>
  <c r="D78" i="8"/>
  <c r="D79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4" i="8"/>
  <c r="D3" i="8"/>
  <c r="D2" i="8"/>
  <c r="E305" i="7"/>
  <c r="D296" i="7"/>
  <c r="D295" i="7"/>
  <c r="D294" i="7"/>
  <c r="D290" i="7"/>
  <c r="D291" i="7"/>
  <c r="D299" i="7"/>
  <c r="D298" i="7"/>
  <c r="D297" i="7"/>
  <c r="D293" i="7"/>
  <c r="D292" i="7"/>
  <c r="D289" i="7"/>
  <c r="D287" i="7"/>
  <c r="D286" i="7"/>
  <c r="D285" i="7"/>
  <c r="D283" i="7"/>
  <c r="D284" i="7"/>
  <c r="D282" i="7"/>
  <c r="D281" i="7"/>
  <c r="D280" i="7"/>
  <c r="D279" i="7"/>
  <c r="D278" i="7"/>
  <c r="D276" i="7"/>
  <c r="D277" i="7"/>
  <c r="D273" i="7"/>
  <c r="D270" i="7"/>
  <c r="D269" i="7"/>
  <c r="D271" i="7"/>
  <c r="D272" i="7"/>
  <c r="D268" i="7"/>
  <c r="D265" i="7"/>
  <c r="D263" i="7"/>
  <c r="D262" i="7"/>
  <c r="D261" i="7"/>
  <c r="D260" i="7"/>
  <c r="D264" i="7"/>
  <c r="D259" i="7"/>
  <c r="D256" i="7"/>
  <c r="D254" i="7"/>
  <c r="D253" i="7"/>
  <c r="D252" i="7"/>
  <c r="D251" i="7"/>
  <c r="D248" i="7"/>
  <c r="D249" i="7"/>
  <c r="D250" i="7"/>
  <c r="D255" i="7"/>
  <c r="D275" i="7"/>
  <c r="D274" i="7"/>
  <c r="D267" i="7"/>
  <c r="D266" i="7"/>
  <c r="D258" i="7"/>
  <c r="D241" i="7"/>
  <c r="D242" i="7"/>
  <c r="D235" i="7"/>
  <c r="D234" i="7"/>
  <c r="D233" i="7"/>
  <c r="D231" i="7"/>
  <c r="D230" i="7"/>
  <c r="D232" i="7"/>
  <c r="D229" i="7"/>
  <c r="D200" i="7"/>
  <c r="D202" i="7"/>
  <c r="D203" i="7"/>
  <c r="D204" i="7"/>
  <c r="D205" i="7"/>
  <c r="D206" i="7"/>
  <c r="D207" i="7"/>
  <c r="D208" i="7"/>
  <c r="D209" i="7"/>
  <c r="D210" i="7"/>
  <c r="D211" i="7"/>
  <c r="D212" i="7"/>
  <c r="D213" i="7"/>
  <c r="D214" i="7"/>
  <c r="D215" i="7"/>
  <c r="D216" i="7"/>
  <c r="D217" i="7"/>
  <c r="D218" i="7"/>
  <c r="D219" i="7"/>
  <c r="D220" i="7"/>
  <c r="D221" i="7"/>
  <c r="D222" i="7"/>
  <c r="D223" i="7"/>
  <c r="D224" i="7"/>
  <c r="D225" i="7"/>
  <c r="D226" i="7"/>
  <c r="D227" i="7"/>
  <c r="D228" i="7"/>
  <c r="D236" i="7"/>
  <c r="D237" i="7"/>
  <c r="D238" i="7"/>
  <c r="D239" i="7"/>
  <c r="D240" i="7"/>
  <c r="D243" i="7"/>
  <c r="D244" i="7"/>
  <c r="D245" i="7"/>
  <c r="D246" i="7"/>
  <c r="D247" i="7"/>
  <c r="D257" i="7"/>
  <c r="D288" i="7"/>
  <c r="D201" i="7"/>
  <c r="D199" i="7"/>
  <c r="D198" i="7"/>
  <c r="D195" i="7"/>
  <c r="D194" i="7"/>
  <c r="D193" i="7"/>
  <c r="D180" i="7"/>
  <c r="D181" i="7"/>
  <c r="D182" i="7"/>
  <c r="D179" i="7"/>
  <c r="D172" i="7"/>
  <c r="D168" i="7"/>
  <c r="D151" i="7"/>
  <c r="D157" i="7"/>
  <c r="D153" i="7"/>
  <c r="D156" i="7"/>
  <c r="D155" i="7"/>
  <c r="D154" i="7"/>
  <c r="D140" i="7"/>
  <c r="D141" i="7"/>
  <c r="D139" i="7"/>
  <c r="D138" i="7"/>
  <c r="D137" i="7"/>
  <c r="D145" i="7"/>
  <c r="D144" i="7"/>
  <c r="D143" i="7"/>
  <c r="D142" i="7"/>
  <c r="D131" i="7"/>
  <c r="D130" i="7"/>
  <c r="D120" i="7"/>
  <c r="D119" i="7"/>
  <c r="D118" i="7"/>
  <c r="D117" i="7"/>
  <c r="D116" i="7"/>
  <c r="D101" i="7"/>
  <c r="D100" i="7"/>
  <c r="D99" i="7"/>
  <c r="D98" i="7"/>
  <c r="D97" i="7"/>
  <c r="D96" i="7"/>
  <c r="D92" i="7"/>
  <c r="D91" i="7"/>
  <c r="D90" i="7"/>
  <c r="D89" i="7"/>
  <c r="D88" i="7"/>
  <c r="D93" i="7"/>
  <c r="D87" i="7"/>
  <c r="D86" i="7"/>
  <c r="D83" i="7"/>
  <c r="D77" i="7"/>
  <c r="D78" i="7"/>
  <c r="D80" i="7"/>
  <c r="D79" i="7"/>
  <c r="D71" i="7"/>
  <c r="D59" i="7"/>
  <c r="D60" i="7"/>
  <c r="D47" i="7"/>
  <c r="D30" i="7"/>
  <c r="D29" i="7"/>
  <c r="D28" i="7"/>
  <c r="D27" i="7"/>
  <c r="D15" i="7"/>
  <c r="D10" i="7"/>
  <c r="D7" i="7"/>
  <c r="D6" i="7"/>
  <c r="D5" i="7"/>
  <c r="D4" i="7"/>
  <c r="D3" i="7"/>
  <c r="D197" i="7"/>
  <c r="D196" i="7"/>
  <c r="D192" i="7"/>
  <c r="D191" i="7"/>
  <c r="D190" i="7"/>
  <c r="D189" i="7"/>
  <c r="D188" i="7"/>
  <c r="D187" i="7"/>
  <c r="D186" i="7"/>
  <c r="D185" i="7"/>
  <c r="D184" i="7"/>
  <c r="D183" i="7"/>
  <c r="D178" i="7"/>
  <c r="D177" i="7"/>
  <c r="D176" i="7"/>
  <c r="D175" i="7"/>
  <c r="D174" i="7"/>
  <c r="D173" i="7"/>
  <c r="D171" i="7"/>
  <c r="D170" i="7"/>
  <c r="D169" i="7"/>
  <c r="D167" i="7"/>
  <c r="D166" i="7"/>
  <c r="D165" i="7"/>
  <c r="D164" i="7"/>
  <c r="D163" i="7"/>
  <c r="D162" i="7"/>
  <c r="D161" i="7"/>
  <c r="D160" i="7"/>
  <c r="D159" i="7"/>
  <c r="D158" i="7"/>
  <c r="D152" i="7"/>
  <c r="D150" i="7"/>
  <c r="D149" i="7"/>
  <c r="D148" i="7"/>
  <c r="D147" i="7"/>
  <c r="D146" i="7"/>
  <c r="D136" i="7"/>
  <c r="D135" i="7"/>
  <c r="D134" i="7"/>
  <c r="D133" i="7"/>
  <c r="D132" i="7"/>
  <c r="D129" i="7"/>
  <c r="D128" i="7"/>
  <c r="D127" i="7"/>
  <c r="D126" i="7"/>
  <c r="D125" i="7"/>
  <c r="D124" i="7"/>
  <c r="D123" i="7"/>
  <c r="D122" i="7"/>
  <c r="D121" i="7"/>
  <c r="D115" i="7"/>
  <c r="D114" i="7"/>
  <c r="D112" i="7"/>
  <c r="D111" i="7"/>
  <c r="D110" i="7"/>
  <c r="D109" i="7"/>
  <c r="D108" i="7"/>
  <c r="D107" i="7"/>
  <c r="D106" i="7"/>
  <c r="D105" i="7"/>
  <c r="D104" i="7"/>
  <c r="D103" i="7"/>
  <c r="D102" i="7"/>
  <c r="D95" i="7"/>
  <c r="D94" i="7"/>
  <c r="D85" i="7"/>
  <c r="D84" i="7"/>
  <c r="D82" i="7"/>
  <c r="D81" i="7"/>
  <c r="D76" i="7"/>
  <c r="D75" i="7"/>
  <c r="D74" i="7"/>
  <c r="D73" i="7"/>
  <c r="D72" i="7"/>
  <c r="D70" i="7"/>
  <c r="D69" i="7"/>
  <c r="D68" i="7"/>
  <c r="D67" i="7"/>
  <c r="D66" i="7"/>
  <c r="D65" i="7"/>
  <c r="D64" i="7"/>
  <c r="D62" i="7"/>
  <c r="D61" i="7"/>
  <c r="D58" i="7"/>
  <c r="D57" i="7"/>
  <c r="D56" i="7"/>
  <c r="D55" i="7"/>
  <c r="D54" i="7"/>
  <c r="D53" i="7"/>
  <c r="D52" i="7"/>
  <c r="D51" i="7"/>
  <c r="D50" i="7"/>
  <c r="D49" i="7"/>
  <c r="D48" i="7"/>
  <c r="D46" i="7"/>
  <c r="D45" i="7"/>
  <c r="D44" i="7"/>
  <c r="D43" i="7"/>
  <c r="D42" i="7"/>
  <c r="D41" i="7"/>
  <c r="D40" i="7"/>
  <c r="D39" i="7"/>
  <c r="D38" i="7"/>
  <c r="D37" i="7"/>
  <c r="D36" i="7"/>
  <c r="D35" i="7"/>
  <c r="D34" i="7"/>
  <c r="D33" i="7"/>
  <c r="D32" i="7"/>
  <c r="D31" i="7"/>
  <c r="D26" i="7"/>
  <c r="D25" i="7"/>
  <c r="D24" i="7"/>
  <c r="D23" i="7"/>
  <c r="D22" i="7"/>
  <c r="D21" i="7"/>
  <c r="D20" i="7"/>
  <c r="D19" i="7"/>
  <c r="D18" i="7"/>
  <c r="D17" i="7"/>
  <c r="D16" i="7"/>
  <c r="D14" i="7"/>
  <c r="D13" i="7"/>
  <c r="D12" i="7"/>
  <c r="D11" i="7"/>
  <c r="D9" i="7"/>
  <c r="D8" i="7"/>
  <c r="D2" i="7"/>
  <c r="F108" i="5"/>
  <c r="F107" i="5"/>
  <c r="F109" i="5"/>
  <c r="F102" i="5"/>
  <c r="E102" i="5"/>
  <c r="E81" i="5"/>
  <c r="E62" i="5"/>
  <c r="E64" i="5"/>
  <c r="E63" i="5"/>
  <c r="G35" i="5"/>
  <c r="F35" i="5"/>
  <c r="E35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5" i="5"/>
  <c r="G66" i="5"/>
  <c r="G67" i="5"/>
  <c r="G68" i="5"/>
  <c r="G69" i="5"/>
  <c r="G70" i="5"/>
  <c r="G71" i="5"/>
  <c r="G72" i="5"/>
  <c r="G73" i="5"/>
  <c r="G74" i="5"/>
  <c r="G75" i="5"/>
  <c r="G76" i="5"/>
  <c r="G77" i="5"/>
  <c r="G78" i="5"/>
  <c r="G79" i="5"/>
  <c r="G80" i="5"/>
  <c r="G82" i="5"/>
  <c r="G83" i="5"/>
  <c r="G84" i="5"/>
  <c r="G85" i="5"/>
  <c r="G86" i="5"/>
  <c r="G87" i="5"/>
  <c r="G88" i="5"/>
  <c r="G89" i="5"/>
  <c r="G90" i="5"/>
  <c r="G91" i="5"/>
  <c r="G92" i="5"/>
  <c r="G93" i="5"/>
  <c r="G94" i="5"/>
  <c r="G95" i="5"/>
  <c r="G96" i="5"/>
  <c r="G97" i="5"/>
  <c r="G98" i="5"/>
  <c r="G99" i="5"/>
  <c r="G100" i="5"/>
  <c r="G101" i="5"/>
  <c r="G103" i="5"/>
  <c r="G104" i="5"/>
  <c r="G105" i="5"/>
  <c r="G106" i="5"/>
  <c r="G110" i="5"/>
  <c r="G3" i="5"/>
  <c r="E11" i="5"/>
  <c r="F4" i="5"/>
  <c r="F5" i="5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6" i="5"/>
  <c r="F37" i="5"/>
  <c r="F38" i="5"/>
  <c r="F39" i="5"/>
  <c r="F40" i="5"/>
  <c r="F41" i="5"/>
  <c r="F42" i="5"/>
  <c r="F43" i="5"/>
  <c r="F44" i="5"/>
  <c r="F45" i="5"/>
  <c r="F46" i="5"/>
  <c r="F47" i="5"/>
  <c r="F48" i="5"/>
  <c r="F49" i="5"/>
  <c r="F50" i="5"/>
  <c r="F51" i="5"/>
  <c r="F52" i="5"/>
  <c r="F53" i="5"/>
  <c r="F54" i="5"/>
  <c r="F55" i="5"/>
  <c r="F56" i="5"/>
  <c r="F57" i="5"/>
  <c r="F58" i="5"/>
  <c r="F59" i="5"/>
  <c r="F60" i="5"/>
  <c r="F61" i="5"/>
  <c r="F65" i="5"/>
  <c r="F66" i="5"/>
  <c r="F67" i="5"/>
  <c r="F68" i="5"/>
  <c r="F69" i="5"/>
  <c r="F70" i="5"/>
  <c r="F71" i="5"/>
  <c r="F72" i="5"/>
  <c r="F73" i="5"/>
  <c r="F74" i="5"/>
  <c r="F75" i="5"/>
  <c r="F76" i="5"/>
  <c r="F77" i="5"/>
  <c r="F78" i="5"/>
  <c r="F79" i="5"/>
  <c r="F80" i="5"/>
  <c r="F82" i="5"/>
  <c r="F83" i="5"/>
  <c r="F84" i="5"/>
  <c r="F85" i="5"/>
  <c r="F86" i="5"/>
  <c r="F87" i="5"/>
  <c r="F88" i="5"/>
  <c r="F89" i="5"/>
  <c r="F90" i="5"/>
  <c r="F91" i="5"/>
  <c r="F92" i="5"/>
  <c r="F93" i="5"/>
  <c r="F94" i="5"/>
  <c r="F95" i="5"/>
  <c r="F96" i="5"/>
  <c r="F97" i="5"/>
  <c r="F98" i="5"/>
  <c r="F99" i="5"/>
  <c r="F100" i="5"/>
  <c r="F101" i="5"/>
  <c r="F103" i="5"/>
  <c r="F104" i="5"/>
  <c r="F105" i="5"/>
  <c r="F106" i="5"/>
  <c r="F110" i="5"/>
  <c r="F111" i="5"/>
  <c r="F112" i="5"/>
  <c r="F113" i="5"/>
  <c r="F114" i="5"/>
  <c r="F115" i="5"/>
  <c r="F116" i="5"/>
  <c r="F117" i="5"/>
  <c r="F118" i="5"/>
  <c r="F119" i="5"/>
  <c r="F120" i="5"/>
  <c r="F121" i="5"/>
  <c r="F122" i="5"/>
  <c r="F123" i="5"/>
  <c r="F124" i="5"/>
  <c r="F125" i="5"/>
  <c r="F126" i="5"/>
  <c r="F127" i="5"/>
  <c r="F128" i="5"/>
  <c r="F129" i="5"/>
  <c r="F130" i="5"/>
  <c r="F3" i="5"/>
  <c r="F2" i="5"/>
  <c r="E148" i="5"/>
  <c r="E147" i="5"/>
  <c r="E146" i="5"/>
  <c r="E145" i="5"/>
  <c r="E144" i="5"/>
  <c r="E143" i="5"/>
  <c r="E142" i="5"/>
  <c r="E141" i="5"/>
  <c r="E140" i="5"/>
  <c r="E139" i="5"/>
  <c r="E138" i="5"/>
  <c r="E137" i="5"/>
  <c r="E136" i="5"/>
  <c r="E135" i="5"/>
  <c r="E134" i="5"/>
  <c r="E133" i="5"/>
  <c r="E132" i="5"/>
  <c r="E131" i="5"/>
  <c r="E130" i="5"/>
  <c r="E129" i="5"/>
  <c r="E128" i="5"/>
  <c r="E127" i="5"/>
  <c r="E126" i="5"/>
  <c r="E125" i="5"/>
  <c r="E124" i="5"/>
  <c r="E123" i="5"/>
  <c r="E122" i="5"/>
  <c r="E121" i="5"/>
  <c r="E120" i="5"/>
  <c r="E119" i="5"/>
  <c r="E118" i="5"/>
  <c r="E117" i="5"/>
  <c r="E116" i="5"/>
  <c r="E115" i="5"/>
  <c r="E114" i="5"/>
  <c r="E113" i="5"/>
  <c r="E112" i="5"/>
  <c r="E111" i="5"/>
  <c r="E110" i="5"/>
  <c r="E106" i="5"/>
  <c r="E105" i="5"/>
  <c r="E104" i="5"/>
  <c r="E103" i="5"/>
  <c r="E101" i="5"/>
  <c r="E100" i="5"/>
  <c r="E99" i="5"/>
  <c r="E98" i="5"/>
  <c r="E97" i="5"/>
  <c r="E96" i="5"/>
  <c r="E95" i="5"/>
  <c r="E94" i="5"/>
  <c r="E93" i="5"/>
  <c r="E92" i="5"/>
  <c r="E91" i="5"/>
  <c r="E90" i="5"/>
  <c r="E89" i="5"/>
  <c r="E88" i="5"/>
  <c r="E87" i="5"/>
  <c r="E86" i="5"/>
  <c r="E85" i="5"/>
  <c r="E84" i="5"/>
  <c r="E83" i="5"/>
  <c r="E82" i="5"/>
  <c r="E80" i="5"/>
  <c r="E79" i="5"/>
  <c r="E78" i="5"/>
  <c r="E77" i="5"/>
  <c r="E76" i="5"/>
  <c r="E75" i="5"/>
  <c r="E74" i="5"/>
  <c r="E73" i="5"/>
  <c r="E72" i="5"/>
  <c r="E71" i="5"/>
  <c r="E70" i="5"/>
  <c r="E69" i="5"/>
  <c r="E68" i="5"/>
  <c r="E67" i="5"/>
  <c r="E66" i="5"/>
  <c r="E65" i="5"/>
  <c r="E61" i="5"/>
  <c r="E60" i="5"/>
  <c r="E59" i="5"/>
  <c r="E58" i="5"/>
  <c r="E57" i="5"/>
  <c r="E56" i="5"/>
  <c r="E55" i="5"/>
  <c r="E54" i="5"/>
  <c r="E53" i="5"/>
  <c r="E52" i="5"/>
  <c r="E51" i="5"/>
  <c r="E50" i="5"/>
  <c r="E49" i="5"/>
  <c r="E48" i="5"/>
  <c r="E47" i="5"/>
  <c r="E46" i="5"/>
  <c r="E45" i="5"/>
  <c r="E44" i="5"/>
  <c r="E43" i="5"/>
  <c r="E42" i="5"/>
  <c r="E41" i="5"/>
  <c r="E40" i="5"/>
  <c r="E39" i="5"/>
  <c r="E38" i="5"/>
  <c r="E37" i="5"/>
  <c r="E36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0" i="5"/>
  <c r="E9" i="5"/>
  <c r="E8" i="5"/>
  <c r="E7" i="5"/>
  <c r="E6" i="5"/>
  <c r="E5" i="5"/>
  <c r="E4" i="5"/>
  <c r="E3" i="5"/>
  <c r="E2" i="5"/>
  <c r="D102" i="4"/>
  <c r="D98" i="4"/>
  <c r="D101" i="4"/>
  <c r="D57" i="4"/>
  <c r="D56" i="4"/>
  <c r="D58" i="4"/>
  <c r="D55" i="4"/>
  <c r="D54" i="4"/>
  <c r="D34" i="4"/>
  <c r="D30" i="4"/>
  <c r="D27" i="4"/>
  <c r="D14" i="4"/>
  <c r="D13" i="4"/>
  <c r="D12" i="4"/>
  <c r="D7" i="4"/>
  <c r="D8" i="4"/>
  <c r="D9" i="4"/>
  <c r="D153" i="4"/>
  <c r="D152" i="4"/>
  <c r="D151" i="4"/>
  <c r="D150" i="4"/>
  <c r="D149" i="4"/>
  <c r="D148" i="4"/>
  <c r="D147" i="4"/>
  <c r="D146" i="4"/>
  <c r="D145" i="4"/>
  <c r="D144" i="4"/>
  <c r="D143" i="4"/>
  <c r="D142" i="4"/>
  <c r="D141" i="4"/>
  <c r="D140" i="4"/>
  <c r="D139" i="4"/>
  <c r="D138" i="4"/>
  <c r="D137" i="4"/>
  <c r="D136" i="4"/>
  <c r="D135" i="4"/>
  <c r="D134" i="4"/>
  <c r="D133" i="4"/>
  <c r="D132" i="4"/>
  <c r="D131" i="4"/>
  <c r="D130" i="4"/>
  <c r="D129" i="4"/>
  <c r="D128" i="4"/>
  <c r="D127" i="4"/>
  <c r="D126" i="4"/>
  <c r="D125" i="4"/>
  <c r="D124" i="4"/>
  <c r="D123" i="4"/>
  <c r="D122" i="4"/>
  <c r="D121" i="4"/>
  <c r="D120" i="4"/>
  <c r="D119" i="4"/>
  <c r="D118" i="4"/>
  <c r="D117" i="4"/>
  <c r="D116" i="4"/>
  <c r="D115" i="4"/>
  <c r="D114" i="4"/>
  <c r="D113" i="4"/>
  <c r="D112" i="4"/>
  <c r="D111" i="4"/>
  <c r="D110" i="4"/>
  <c r="D109" i="4"/>
  <c r="D108" i="4"/>
  <c r="D107" i="4"/>
  <c r="D106" i="4"/>
  <c r="D105" i="4"/>
  <c r="D104" i="4"/>
  <c r="D103" i="4"/>
  <c r="D100" i="4"/>
  <c r="D99" i="4"/>
  <c r="D97" i="4"/>
  <c r="D96" i="4"/>
  <c r="D95" i="4"/>
  <c r="D94" i="4"/>
  <c r="D93" i="4"/>
  <c r="D92" i="4"/>
  <c r="D91" i="4"/>
  <c r="D90" i="4"/>
  <c r="D89" i="4"/>
  <c r="D88" i="4"/>
  <c r="D87" i="4"/>
  <c r="D86" i="4"/>
  <c r="D85" i="4"/>
  <c r="D84" i="4"/>
  <c r="D83" i="4"/>
  <c r="D82" i="4"/>
  <c r="D81" i="4"/>
  <c r="D80" i="4"/>
  <c r="D79" i="4"/>
  <c r="D78" i="4"/>
  <c r="D77" i="4"/>
  <c r="D76" i="4"/>
  <c r="D75" i="4"/>
  <c r="D74" i="4"/>
  <c r="D73" i="4"/>
  <c r="D72" i="4"/>
  <c r="D71" i="4"/>
  <c r="D70" i="4"/>
  <c r="D69" i="4"/>
  <c r="D68" i="4"/>
  <c r="D67" i="4"/>
  <c r="D66" i="4"/>
  <c r="D65" i="4"/>
  <c r="D64" i="4"/>
  <c r="D63" i="4"/>
  <c r="D62" i="4"/>
  <c r="D61" i="4"/>
  <c r="D60" i="4"/>
  <c r="D59" i="4"/>
  <c r="D53" i="4"/>
  <c r="D52" i="4"/>
  <c r="D51" i="4"/>
  <c r="D50" i="4"/>
  <c r="D49" i="4"/>
  <c r="D48" i="4"/>
  <c r="D47" i="4"/>
  <c r="D46" i="4"/>
  <c r="D45" i="4"/>
  <c r="D44" i="4"/>
  <c r="D43" i="4"/>
  <c r="D42" i="4"/>
  <c r="D41" i="4"/>
  <c r="D40" i="4"/>
  <c r="D39" i="4"/>
  <c r="D38" i="4"/>
  <c r="D37" i="4"/>
  <c r="D36" i="4"/>
  <c r="D35" i="4"/>
  <c r="D33" i="4"/>
  <c r="D32" i="4"/>
  <c r="D31" i="4"/>
  <c r="D29" i="4"/>
  <c r="D28" i="4"/>
  <c r="D26" i="4"/>
  <c r="D25" i="4"/>
  <c r="D24" i="4"/>
  <c r="D23" i="4"/>
  <c r="D22" i="4"/>
  <c r="D21" i="4"/>
  <c r="D20" i="4"/>
  <c r="D19" i="4"/>
  <c r="D18" i="4"/>
  <c r="D17" i="4"/>
  <c r="D16" i="4"/>
  <c r="D15" i="4"/>
  <c r="D11" i="4"/>
  <c r="D10" i="4"/>
  <c r="D6" i="4"/>
  <c r="D5" i="4"/>
  <c r="D4" i="4"/>
  <c r="D3" i="4"/>
  <c r="D2" i="4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27" i="3"/>
  <c r="D128" i="3"/>
  <c r="D129" i="3"/>
  <c r="D130" i="3"/>
  <c r="D131" i="3"/>
  <c r="D132" i="3"/>
  <c r="D133" i="3"/>
  <c r="D134" i="3"/>
  <c r="D135" i="3"/>
  <c r="D136" i="3"/>
  <c r="D137" i="3"/>
  <c r="D4" i="3"/>
  <c r="D2" i="3"/>
  <c r="D138" i="3"/>
  <c r="D139" i="3"/>
  <c r="D2" i="1"/>
  <c r="D51" i="1"/>
  <c r="D50" i="1"/>
  <c r="D39" i="1"/>
  <c r="D38" i="1"/>
  <c r="D37" i="1"/>
  <c r="D3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33" i="1"/>
  <c r="D61" i="1"/>
  <c r="D30" i="1"/>
  <c r="I21" i="1"/>
  <c r="D27" i="1"/>
  <c r="D26" i="1"/>
  <c r="D25" i="1"/>
  <c r="D57" i="1"/>
  <c r="D58" i="1"/>
  <c r="D59" i="1"/>
  <c r="D60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8" i="1"/>
  <c r="D29" i="1"/>
  <c r="D31" i="1"/>
  <c r="D32" i="1"/>
  <c r="D34" i="1"/>
  <c r="D35" i="1"/>
  <c r="D40" i="1"/>
  <c r="D41" i="1"/>
  <c r="D42" i="1"/>
  <c r="D43" i="1"/>
  <c r="D44" i="1"/>
  <c r="D45" i="1"/>
  <c r="D46" i="1"/>
  <c r="D47" i="1"/>
  <c r="D48" i="1"/>
  <c r="D49" i="1"/>
  <c r="D52" i="1"/>
  <c r="D53" i="1"/>
  <c r="D54" i="1"/>
  <c r="D55" i="1"/>
  <c r="D56" i="1"/>
  <c r="D4" i="1"/>
  <c r="D3" i="1"/>
  <c r="A4" i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8" i="1" s="1"/>
  <c r="A29" i="1" s="1"/>
  <c r="A30" i="1" s="1"/>
  <c r="A31" i="1" s="1"/>
</calcChain>
</file>

<file path=xl/sharedStrings.xml><?xml version="1.0" encoding="utf-8"?>
<sst xmlns="http://schemas.openxmlformats.org/spreadsheetml/2006/main" count="853" uniqueCount="427">
  <si>
    <t>Place</t>
  </si>
  <si>
    <t>v2</t>
  </si>
  <si>
    <t>diff</t>
  </si>
  <si>
    <t>v1</t>
  </si>
  <si>
    <t>Lv 1 Start</t>
  </si>
  <si>
    <t>29 start</t>
  </si>
  <si>
    <t>30 start</t>
  </si>
  <si>
    <t>31 start</t>
  </si>
  <si>
    <t>32 start</t>
  </si>
  <si>
    <t>33 start</t>
  </si>
  <si>
    <t>34 start</t>
  </si>
  <si>
    <t>35 start</t>
  </si>
  <si>
    <t>36 start</t>
  </si>
  <si>
    <t>37 start</t>
  </si>
  <si>
    <t>39 start</t>
  </si>
  <si>
    <t>40 start</t>
  </si>
  <si>
    <t>41 start</t>
  </si>
  <si>
    <t>42 start</t>
  </si>
  <si>
    <t>43 start</t>
  </si>
  <si>
    <t>44 start</t>
  </si>
  <si>
    <t>45 start</t>
  </si>
  <si>
    <t>46 start</t>
  </si>
  <si>
    <t>47 start</t>
  </si>
  <si>
    <t>48 start</t>
  </si>
  <si>
    <t>49 start</t>
  </si>
  <si>
    <t>50 start</t>
  </si>
  <si>
    <t>END</t>
  </si>
  <si>
    <t>29 End</t>
  </si>
  <si>
    <t>32 end</t>
  </si>
  <si>
    <t>33 end</t>
  </si>
  <si>
    <t>35 end</t>
  </si>
  <si>
    <t>34 end</t>
  </si>
  <si>
    <t>36 end</t>
  </si>
  <si>
    <t>38 end</t>
  </si>
  <si>
    <t>39 end</t>
  </si>
  <si>
    <t>40 end</t>
  </si>
  <si>
    <t>41 end</t>
  </si>
  <si>
    <t>42 end</t>
  </si>
  <si>
    <t>43 end</t>
  </si>
  <si>
    <t>44 end</t>
  </si>
  <si>
    <t>45 end</t>
  </si>
  <si>
    <t>46 end</t>
  </si>
  <si>
    <t>47 end</t>
  </si>
  <si>
    <t>48 end</t>
  </si>
  <si>
    <t>49 end</t>
  </si>
  <si>
    <t>30 end</t>
  </si>
  <si>
    <t>31 end</t>
  </si>
  <si>
    <t>37 end</t>
  </si>
  <si>
    <t>38 start</t>
  </si>
  <si>
    <t>v3</t>
  </si>
  <si>
    <t>start = 1st frame level appears (not player)</t>
  </si>
  <si>
    <t>end = black screen after level (1st lag frame after existing the level, tastudio perspective)</t>
  </si>
  <si>
    <t>Lv1 End</t>
  </si>
  <si>
    <t>Lv1 Start</t>
  </si>
  <si>
    <t>Lv2 Start</t>
  </si>
  <si>
    <t>1st Kill</t>
  </si>
  <si>
    <t>883 - earliest - X 27</t>
  </si>
  <si>
    <t>Frame</t>
  </si>
  <si>
    <t>X</t>
  </si>
  <si>
    <t>Ideal</t>
  </si>
  <si>
    <t>(3 ideal, 0-3 acceptable)</t>
  </si>
  <si>
    <t>743 - dig</t>
  </si>
  <si>
    <t>but drops too soon</t>
  </si>
  <si>
    <t>Lv2 End</t>
  </si>
  <si>
    <t>Lv3 Start</t>
  </si>
  <si>
    <t>Lv3 End</t>
  </si>
  <si>
    <t>Lv4 Start</t>
  </si>
  <si>
    <t>Lv4 End</t>
  </si>
  <si>
    <t>Lv5 Start</t>
  </si>
  <si>
    <t>Lv5 End</t>
  </si>
  <si>
    <t>Lv6 Start</t>
  </si>
  <si>
    <t>Lv6 End</t>
  </si>
  <si>
    <t>Lv7 Start</t>
  </si>
  <si>
    <t>Lv7 End</t>
  </si>
  <si>
    <t>Lv8 Start</t>
  </si>
  <si>
    <t>Lv8 End</t>
  </si>
  <si>
    <t>Lv9 Start</t>
  </si>
  <si>
    <t>Lv9 End</t>
  </si>
  <si>
    <t>Lv10 Start</t>
  </si>
  <si>
    <t>Lv10 End</t>
  </si>
  <si>
    <t>Lv11 Start</t>
  </si>
  <si>
    <t>Lv12 Start</t>
  </si>
  <si>
    <t>Lv12 End</t>
  </si>
  <si>
    <t>Lv13 Start</t>
  </si>
  <si>
    <t>Lv13 End</t>
  </si>
  <si>
    <t>Lv14 Start</t>
  </si>
  <si>
    <t>Lv14 End</t>
  </si>
  <si>
    <t>Lv15 Start</t>
  </si>
  <si>
    <t>Lv15 End</t>
  </si>
  <si>
    <t>Lv16 Start</t>
  </si>
  <si>
    <t>Lv16 End</t>
  </si>
  <si>
    <t>Lv17 Start</t>
  </si>
  <si>
    <t>Lv17 End</t>
  </si>
  <si>
    <t>Lv18 Start</t>
  </si>
  <si>
    <t>Lv18 End</t>
  </si>
  <si>
    <t>Lv19 Start</t>
  </si>
  <si>
    <t>Lv19 End</t>
  </si>
  <si>
    <t>Lv20 Start</t>
  </si>
  <si>
    <t>Lv20 End</t>
  </si>
  <si>
    <t>Lv21 Start</t>
  </si>
  <si>
    <t>Lv21 End</t>
  </si>
  <si>
    <t>Lv22 Start</t>
  </si>
  <si>
    <t>Lv22 End</t>
  </si>
  <si>
    <t>Lv23 Start</t>
  </si>
  <si>
    <t>Lv23 End</t>
  </si>
  <si>
    <t>Lv24 Start</t>
  </si>
  <si>
    <t>Lv24 End</t>
  </si>
  <si>
    <t>Lv25 Start</t>
  </si>
  <si>
    <t>Lv25 End</t>
  </si>
  <si>
    <t>Lv26 Start</t>
  </si>
  <si>
    <t>Lv26 End</t>
  </si>
  <si>
    <t>Lv27 Start</t>
  </si>
  <si>
    <t>Lv27 End</t>
  </si>
  <si>
    <t>Lv28 Start</t>
  </si>
  <si>
    <t>Lv29 End</t>
  </si>
  <si>
    <t>Lv28 End</t>
  </si>
  <si>
    <t>Lv29 Start</t>
  </si>
  <si>
    <t>Lv30 Start</t>
  </si>
  <si>
    <t>Lv30 End</t>
  </si>
  <si>
    <t>Lv31 Start</t>
  </si>
  <si>
    <t>Lv31 End</t>
  </si>
  <si>
    <t>Lv32 Start</t>
  </si>
  <si>
    <t>Lv32 End</t>
  </si>
  <si>
    <t>33 Start</t>
  </si>
  <si>
    <t>33 End</t>
  </si>
  <si>
    <t>v4</t>
  </si>
  <si>
    <t>Lv11 End</t>
  </si>
  <si>
    <t>1st dig</t>
  </si>
  <si>
    <t>1st ladder grab</t>
  </si>
  <si>
    <t>X = 0 start</t>
  </si>
  <si>
    <t>Ladder grab</t>
  </si>
  <si>
    <t>6 delay frames for luck manip</t>
  </si>
  <si>
    <t>mysterious lag</t>
  </si>
  <si>
    <t>top dig</t>
  </si>
  <si>
    <t>end = frame S could be pressed</t>
  </si>
  <si>
    <t>Lv5 X=0 Start</t>
  </si>
  <si>
    <t>Lv6 X=0 Start</t>
  </si>
  <si>
    <t>Lv7 X=0 Start</t>
  </si>
  <si>
    <t>Lv8 X=0 Start</t>
  </si>
  <si>
    <t>Lv9 X=0 Start</t>
  </si>
  <si>
    <t>Lv10 X=0 Start</t>
  </si>
  <si>
    <t>Lv11 X=0 Start</t>
  </si>
  <si>
    <t>Lv13 X=0 Start</t>
  </si>
  <si>
    <t>1 delay frame</t>
  </si>
  <si>
    <t>9 delay frames</t>
  </si>
  <si>
    <t>Lag</t>
  </si>
  <si>
    <t>v3 - 7 digs</t>
  </si>
  <si>
    <t>1 Delay</t>
  </si>
  <si>
    <t>gold</t>
  </si>
  <si>
    <t>left</t>
  </si>
  <si>
    <t>dig</t>
  </si>
  <si>
    <t>enemy spawn</t>
  </si>
  <si>
    <t xml:space="preserve"> </t>
  </si>
  <si>
    <t>3rd gold</t>
  </si>
  <si>
    <t>Gold = 4</t>
  </si>
  <si>
    <t>v5</t>
  </si>
  <si>
    <t>Takanawa</t>
  </si>
  <si>
    <t>adelikat</t>
  </si>
  <si>
    <t>Loading</t>
  </si>
  <si>
    <t>Start Frame</t>
  </si>
  <si>
    <t>End Frame</t>
  </si>
  <si>
    <t>Level Frames</t>
  </si>
  <si>
    <t>Diff</t>
  </si>
  <si>
    <t>Total Diff</t>
  </si>
  <si>
    <t>Level</t>
  </si>
  <si>
    <t>god help i can't get the fucking music out of my head</t>
  </si>
  <si>
    <t>Total Frames:</t>
  </si>
  <si>
    <t>Tk</t>
  </si>
  <si>
    <t>Tk diff</t>
  </si>
  <si>
    <t>Tk Gained</t>
  </si>
  <si>
    <t>01 Start</t>
  </si>
  <si>
    <t>01 End</t>
  </si>
  <si>
    <t>02 Start</t>
  </si>
  <si>
    <t>02 End</t>
  </si>
  <si>
    <t>03 Start</t>
  </si>
  <si>
    <t>03 End</t>
  </si>
  <si>
    <t>04 Start</t>
  </si>
  <si>
    <t>04 End</t>
  </si>
  <si>
    <t>05 Start</t>
  </si>
  <si>
    <t>05 End</t>
  </si>
  <si>
    <t>06 Start</t>
  </si>
  <si>
    <t>06 End</t>
  </si>
  <si>
    <t>07 Start</t>
  </si>
  <si>
    <t>07 End</t>
  </si>
  <si>
    <t>08 Start</t>
  </si>
  <si>
    <t>08 End</t>
  </si>
  <si>
    <t>09 Start</t>
  </si>
  <si>
    <t>09 End</t>
  </si>
  <si>
    <t>10 Start</t>
  </si>
  <si>
    <t>10 End</t>
  </si>
  <si>
    <t>11 Start</t>
  </si>
  <si>
    <t>11 End</t>
  </si>
  <si>
    <t>12 Start</t>
  </si>
  <si>
    <t>12 End</t>
  </si>
  <si>
    <t>13 Start</t>
  </si>
  <si>
    <t>14 End</t>
  </si>
  <si>
    <t>14 Start</t>
  </si>
  <si>
    <t>15 Start</t>
  </si>
  <si>
    <t>15 End</t>
  </si>
  <si>
    <t>16 Start</t>
  </si>
  <si>
    <t>16 End</t>
  </si>
  <si>
    <t>17 Start</t>
  </si>
  <si>
    <t>17 End</t>
  </si>
  <si>
    <t>18 Start</t>
  </si>
  <si>
    <t>18 End</t>
  </si>
  <si>
    <t>19 Start</t>
  </si>
  <si>
    <t>19 End</t>
  </si>
  <si>
    <t>20 Start</t>
  </si>
  <si>
    <t>20 End</t>
  </si>
  <si>
    <t>21 Start</t>
  </si>
  <si>
    <t>21 End</t>
  </si>
  <si>
    <t>22 Start</t>
  </si>
  <si>
    <t>22 End</t>
  </si>
  <si>
    <t>23 Start</t>
  </si>
  <si>
    <t>23 End</t>
  </si>
  <si>
    <t>24 Start</t>
  </si>
  <si>
    <t>24 End</t>
  </si>
  <si>
    <t>25 Start</t>
  </si>
  <si>
    <t>25 End</t>
  </si>
  <si>
    <t>26 Start</t>
  </si>
  <si>
    <t>26 End</t>
  </si>
  <si>
    <t>27 Start</t>
  </si>
  <si>
    <t>27 End</t>
  </si>
  <si>
    <t>28 Start</t>
  </si>
  <si>
    <t>28 End</t>
  </si>
  <si>
    <t>29 Start</t>
  </si>
  <si>
    <t>30 Start</t>
  </si>
  <si>
    <t>30 End</t>
  </si>
  <si>
    <t>31 Start</t>
  </si>
  <si>
    <t>31 End</t>
  </si>
  <si>
    <t>32 Start</t>
  </si>
  <si>
    <t>32 End</t>
  </si>
  <si>
    <t>ladder</t>
  </si>
  <si>
    <t>fall</t>
  </si>
  <si>
    <t>walk</t>
  </si>
  <si>
    <t>gold 3</t>
  </si>
  <si>
    <t>V6</t>
  </si>
  <si>
    <t>01 Appears (1st green)</t>
  </si>
  <si>
    <t>01 1st move</t>
  </si>
  <si>
    <t>gold left 4</t>
  </si>
  <si>
    <t>gold left 3</t>
  </si>
  <si>
    <t>gold left 2</t>
  </si>
  <si>
    <t>01 End (lag frame)</t>
  </si>
  <si>
    <t>02 1st move</t>
  </si>
  <si>
    <t>8 frames luck manip</t>
  </si>
  <si>
    <t>start 2 tile dig</t>
  </si>
  <si>
    <t>03 1st move</t>
  </si>
  <si>
    <t>gold = 5</t>
  </si>
  <si>
    <t>gold = 1</t>
  </si>
  <si>
    <t>gold = 2</t>
  </si>
  <si>
    <t>gold = 0</t>
  </si>
  <si>
    <t>03 end</t>
  </si>
  <si>
    <t>04 1st move</t>
  </si>
  <si>
    <t>04 end</t>
  </si>
  <si>
    <t>05 ladder grab</t>
  </si>
  <si>
    <t>05 end</t>
  </si>
  <si>
    <t>06 1st dig</t>
  </si>
  <si>
    <t>06 end</t>
  </si>
  <si>
    <t>07 1st move</t>
  </si>
  <si>
    <t>07 end</t>
  </si>
  <si>
    <t>4th dig</t>
  </si>
  <si>
    <t>2nd dig</t>
  </si>
  <si>
    <t>5th dig</t>
  </si>
  <si>
    <t>need to delay for enemy at top to go right, saving a longer delay on the ladder</t>
  </si>
  <si>
    <t>08 ladder grab</t>
  </si>
  <si>
    <t>ladder grab</t>
  </si>
  <si>
    <t>3rd dig</t>
  </si>
  <si>
    <t>08 end</t>
  </si>
  <si>
    <t>09 ladder grab</t>
  </si>
  <si>
    <t>2nd ladder grab</t>
  </si>
  <si>
    <t>3rd ladder grab</t>
  </si>
  <si>
    <t>last dig</t>
  </si>
  <si>
    <t>1st 3rd cycle dig</t>
  </si>
  <si>
    <t>2nd to last</t>
  </si>
  <si>
    <t>09 end</t>
  </si>
  <si>
    <t>10 grab ladder</t>
  </si>
  <si>
    <t>10 end</t>
  </si>
  <si>
    <t>11 1st move</t>
  </si>
  <si>
    <t>11 end</t>
  </si>
  <si>
    <t>gold = 7</t>
  </si>
  <si>
    <t>12 1st move</t>
  </si>
  <si>
    <t>12 end</t>
  </si>
  <si>
    <t>13 1st move</t>
  </si>
  <si>
    <t>13 end</t>
  </si>
  <si>
    <t>14 1st move</t>
  </si>
  <si>
    <t>14 end</t>
  </si>
  <si>
    <t>15 1st move</t>
  </si>
  <si>
    <t>Gold = 20</t>
  </si>
  <si>
    <t>15 end</t>
  </si>
  <si>
    <t>Gold = 15</t>
  </si>
  <si>
    <t>Gold = 10</t>
  </si>
  <si>
    <t>E gets gold in air</t>
  </si>
  <si>
    <t>16 gold = 10</t>
  </si>
  <si>
    <t>gold = 6</t>
  </si>
  <si>
    <t>16 end</t>
  </si>
  <si>
    <t>17 1st move</t>
  </si>
  <si>
    <t>move right</t>
  </si>
  <si>
    <t>17 end</t>
  </si>
  <si>
    <t>leave ladder</t>
  </si>
  <si>
    <t>18 1st move</t>
  </si>
  <si>
    <t>dig 2nd cycle</t>
  </si>
  <si>
    <t>18 end</t>
  </si>
  <si>
    <t>gold = 3</t>
  </si>
  <si>
    <t>earliest fall</t>
  </si>
  <si>
    <t>19 1st move</t>
  </si>
  <si>
    <t>19 end</t>
  </si>
  <si>
    <t>gold = 11</t>
  </si>
  <si>
    <t>20 gold = 14</t>
  </si>
  <si>
    <t>20 end</t>
  </si>
  <si>
    <t>gold = 12</t>
  </si>
  <si>
    <t>gold = 4</t>
  </si>
  <si>
    <t>gold = 9</t>
  </si>
  <si>
    <t>gold = 8</t>
  </si>
  <si>
    <t>21 ladder grab</t>
  </si>
  <si>
    <t>21 end</t>
  </si>
  <si>
    <t>22 ladder grab</t>
  </si>
  <si>
    <t>gold = 17</t>
  </si>
  <si>
    <t>drop manip</t>
  </si>
  <si>
    <t>gold = 13</t>
  </si>
  <si>
    <t>gold = 10</t>
  </si>
  <si>
    <t>22 end</t>
  </si>
  <si>
    <t>23 ladder grab</t>
  </si>
  <si>
    <t>23 end</t>
  </si>
  <si>
    <t>24 ladder grab</t>
  </si>
  <si>
    <t>24 end</t>
  </si>
  <si>
    <t>25 ladder grab</t>
  </si>
  <si>
    <t>lv 25 end</t>
  </si>
  <si>
    <t>lv 26 ladder grab</t>
  </si>
  <si>
    <t>lv 26 end</t>
  </si>
  <si>
    <t>lv 27 1st move</t>
  </si>
  <si>
    <t>lv 27 end</t>
  </si>
  <si>
    <t>28 1st move</t>
  </si>
  <si>
    <t>28 end</t>
  </si>
  <si>
    <t>fall (gold = 5)</t>
  </si>
  <si>
    <t>x = 20</t>
  </si>
  <si>
    <t>move left</t>
  </si>
  <si>
    <t>29 1st move</t>
  </si>
  <si>
    <t>29 end</t>
  </si>
  <si>
    <t>30 e 1st move</t>
  </si>
  <si>
    <t>E2 X = 15</t>
  </si>
  <si>
    <t>enemy dies</t>
  </si>
  <si>
    <t>luck manip</t>
  </si>
  <si>
    <t>29390 if no delay</t>
  </si>
  <si>
    <t>31 ladder grab</t>
  </si>
  <si>
    <t>32 ladder grab</t>
  </si>
  <si>
    <t>dig after gold = 8</t>
  </si>
  <si>
    <t xml:space="preserve">dig before gold = 0 </t>
  </si>
  <si>
    <t>33 gold = 7</t>
  </si>
  <si>
    <t>33 ladder grab</t>
  </si>
  <si>
    <t>camx = 0</t>
  </si>
  <si>
    <t>camx = 214</t>
  </si>
  <si>
    <t>camx = 1</t>
  </si>
  <si>
    <t>gold = 29</t>
  </si>
  <si>
    <t>gold=23</t>
  </si>
  <si>
    <t>gold = 22</t>
  </si>
  <si>
    <t>gold = 20</t>
  </si>
  <si>
    <t>gold = 16</t>
  </si>
  <si>
    <t>35 ladder grab</t>
  </si>
  <si>
    <t>34 appears</t>
  </si>
  <si>
    <t>right ladder grab</t>
  </si>
  <si>
    <t>walk over enemy</t>
  </si>
  <si>
    <t>36 1st move</t>
  </si>
  <si>
    <t>37 ladder grab</t>
  </si>
  <si>
    <t>38 gold = 8</t>
  </si>
  <si>
    <t>grab pipe</t>
  </si>
  <si>
    <t>39 gold = 7</t>
  </si>
  <si>
    <t>40 1st move</t>
  </si>
  <si>
    <t>dig to middle</t>
  </si>
  <si>
    <t>41 fall</t>
  </si>
  <si>
    <t>gold = 24</t>
  </si>
  <si>
    <t>gold = 14</t>
  </si>
  <si>
    <t>end</t>
  </si>
  <si>
    <t>42 ladder grab</t>
  </si>
  <si>
    <t>gold = 18</t>
  </si>
  <si>
    <t>43 dig</t>
  </si>
  <si>
    <t>44 1st move</t>
  </si>
  <si>
    <t>45 1st move</t>
  </si>
  <si>
    <t>46 1st move</t>
  </si>
  <si>
    <t>47 1st move</t>
  </si>
  <si>
    <t>48 1st move</t>
  </si>
  <si>
    <t>49 dig</t>
  </si>
  <si>
    <t>50 1st move</t>
  </si>
  <si>
    <t>right dig</t>
  </si>
  <si>
    <t>dig at 2 enemies</t>
  </si>
  <si>
    <t>dig above gold = 7</t>
  </si>
  <si>
    <t>fall from pole</t>
  </si>
  <si>
    <t>ladder grab right</t>
  </si>
  <si>
    <t>v6</t>
  </si>
  <si>
    <t>v7</t>
  </si>
  <si>
    <t>01 start (press select)</t>
  </si>
  <si>
    <t>02 end</t>
  </si>
  <si>
    <t>02 start</t>
  </si>
  <si>
    <t>01 end (lag frame)</t>
  </si>
  <si>
    <t>03 start</t>
  </si>
  <si>
    <t>04 start</t>
  </si>
  <si>
    <t>05 start</t>
  </si>
  <si>
    <t>06 start</t>
  </si>
  <si>
    <t>07 start</t>
  </si>
  <si>
    <t>09 start</t>
  </si>
  <si>
    <t>10 start</t>
  </si>
  <si>
    <t>11 start</t>
  </si>
  <si>
    <t>12 start</t>
  </si>
  <si>
    <t>13 start</t>
  </si>
  <si>
    <t>14 start</t>
  </si>
  <si>
    <t>15 start</t>
  </si>
  <si>
    <t>16 start</t>
  </si>
  <si>
    <t>17 start</t>
  </si>
  <si>
    <t>18 start</t>
  </si>
  <si>
    <t>19 start</t>
  </si>
  <si>
    <t>20 start</t>
  </si>
  <si>
    <t>08 start</t>
  </si>
  <si>
    <t>21 start</t>
  </si>
  <si>
    <t>22 start</t>
  </si>
  <si>
    <t>23 start</t>
  </si>
  <si>
    <t>24 start</t>
  </si>
  <si>
    <t>25 start</t>
  </si>
  <si>
    <t>25 end</t>
  </si>
  <si>
    <t>26 start</t>
  </si>
  <si>
    <t>26 end</t>
  </si>
  <si>
    <t>27 start</t>
  </si>
  <si>
    <t>27 end</t>
  </si>
  <si>
    <t>28 start</t>
  </si>
  <si>
    <t>(v6 1st move)</t>
  </si>
  <si>
    <t>fast mode</t>
  </si>
  <si>
    <t>39656 possible, 6 frames to get exact gold drop</t>
  </si>
  <si>
    <t>1st move</t>
  </si>
  <si>
    <t>grab ladder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</si>
</sst>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.00;[Red]&quot;-&quot;[$$-409]#,##0.00"/>
  </numFmts>
  <fonts count="38" x14ac:knownFonts="1">
    <font>
      <sz val="11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i/>
      <sz val="16"/>
      <color theme="1"/>
      <name val="Arial"/>
      <family val="2"/>
    </font>
    <font>
      <b/>
      <i/>
      <u/>
      <sz val="11"/>
      <color theme="1"/>
      <name val="Arial"/>
      <family val="2"/>
    </font>
    <font>
      <sz val="11"/>
      <color theme="0"/>
      <name val="Calibri"/>
      <family val="2"/>
      <scheme val="minor"/>
    </font>
    <font>
      <sz val="11"/>
      <color indexed="8"/>
      <name val="Calibri"/>
      <family val="2"/>
      <charset val="1"/>
    </font>
    <font>
      <sz val="11"/>
      <color indexed="8"/>
      <name val="Calibri"/>
      <family val="2"/>
      <scheme val="minor"/>
    </font>
    <font>
      <sz val="8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i/>
      <sz val="10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rgb="FFCFE2F3"/>
        <bgColor indexed="64"/>
      </patternFill>
    </fill>
    <fill>
      <patternFill patternType="solid">
        <fgColor rgb="FFF4CCCC"/>
        <bgColor indexed="64"/>
      </patternFill>
    </fill>
    <fill>
      <patternFill patternType="solid">
        <fgColor rgb="FF999999"/>
        <bgColor indexed="64"/>
      </patternFill>
    </fill>
  </fills>
  <borders count="14">
    <border>
      <left/>
      <right/>
      <top/>
      <bottom/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/>
      <top style="medium">
        <color rgb="FFCCCCCC"/>
      </top>
      <bottom style="medium">
        <color rgb="FF000000"/>
      </bottom>
      <diagonal/>
    </border>
    <border>
      <left/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</borders>
  <cellStyleXfs count="7">
    <xf numFmtId="0" fontId="0" fillId="0" borderId="0"/>
    <xf numFmtId="0" fontId="29" fillId="0" borderId="0">
      <alignment horizontal="center"/>
    </xf>
    <xf numFmtId="0" fontId="29" fillId="0" borderId="0">
      <alignment horizontal="center" textRotation="90"/>
    </xf>
    <xf numFmtId="0" fontId="30" fillId="0" borderId="0"/>
    <xf numFmtId="164" fontId="30" fillId="0" borderId="0"/>
    <xf numFmtId="0" fontId="31" fillId="2" borderId="0" applyNumberFormat="0" applyBorder="0" applyAlignment="0" applyProtection="0"/>
    <xf numFmtId="0" fontId="32" fillId="0" borderId="0"/>
  </cellStyleXfs>
  <cellXfs count="62">
    <xf numFmtId="0" fontId="0" fillId="0" borderId="0" xfId="0"/>
    <xf numFmtId="0" fontId="31" fillId="2" borderId="0" xfId="5"/>
    <xf numFmtId="0" fontId="28" fillId="0" borderId="0" xfId="0" applyFont="1"/>
    <xf numFmtId="0" fontId="33" fillId="0" borderId="0" xfId="6" applyFont="1"/>
    <xf numFmtId="0" fontId="27" fillId="0" borderId="0" xfId="0" applyFont="1"/>
    <xf numFmtId="0" fontId="26" fillId="0" borderId="0" xfId="0" applyFont="1"/>
    <xf numFmtId="0" fontId="26" fillId="0" borderId="0" xfId="0" quotePrefix="1" applyFont="1"/>
    <xf numFmtId="0" fontId="25" fillId="0" borderId="0" xfId="0" applyFont="1"/>
    <xf numFmtId="0" fontId="24" fillId="0" borderId="0" xfId="0" applyFont="1"/>
    <xf numFmtId="0" fontId="23" fillId="0" borderId="0" xfId="0" applyFont="1"/>
    <xf numFmtId="0" fontId="22" fillId="0" borderId="0" xfId="0" applyFont="1"/>
    <xf numFmtId="0" fontId="35" fillId="0" borderId="1" xfId="0" applyFont="1" applyBorder="1" applyAlignment="1">
      <alignment wrapText="1"/>
    </xf>
    <xf numFmtId="0" fontId="35" fillId="3" borderId="2" xfId="0" applyFont="1" applyFill="1" applyBorder="1" applyAlignment="1">
      <alignment wrapText="1"/>
    </xf>
    <xf numFmtId="0" fontId="35" fillId="4" borderId="2" xfId="0" applyFont="1" applyFill="1" applyBorder="1" applyAlignment="1">
      <alignment wrapText="1"/>
    </xf>
    <xf numFmtId="0" fontId="35" fillId="0" borderId="2" xfId="0" applyFont="1" applyBorder="1" applyAlignment="1">
      <alignment wrapText="1"/>
    </xf>
    <xf numFmtId="0" fontId="35" fillId="5" borderId="3" xfId="0" applyFont="1" applyFill="1" applyBorder="1" applyAlignment="1">
      <alignment wrapText="1"/>
    </xf>
    <xf numFmtId="0" fontId="36" fillId="3" borderId="6" xfId="0" applyFont="1" applyFill="1" applyBorder="1" applyAlignment="1">
      <alignment horizontal="center" wrapText="1"/>
    </xf>
    <xf numFmtId="0" fontId="36" fillId="4" borderId="6" xfId="0" applyFont="1" applyFill="1" applyBorder="1" applyAlignment="1">
      <alignment horizontal="center" wrapText="1"/>
    </xf>
    <xf numFmtId="0" fontId="35" fillId="0" borderId="6" xfId="0" applyFont="1" applyBorder="1" applyAlignment="1">
      <alignment wrapText="1"/>
    </xf>
    <xf numFmtId="0" fontId="35" fillId="5" borderId="1" xfId="0" applyFont="1" applyFill="1" applyBorder="1" applyAlignment="1">
      <alignment wrapText="1"/>
    </xf>
    <xf numFmtId="0" fontId="35" fillId="3" borderId="1" xfId="0" applyFont="1" applyFill="1" applyBorder="1" applyAlignment="1">
      <alignment horizontal="center" wrapText="1"/>
    </xf>
    <xf numFmtId="0" fontId="35" fillId="4" borderId="1" xfId="0" applyFont="1" applyFill="1" applyBorder="1" applyAlignment="1">
      <alignment horizontal="center" wrapText="1"/>
    </xf>
    <xf numFmtId="0" fontId="35" fillId="0" borderId="1" xfId="0" applyFont="1" applyBorder="1" applyAlignment="1">
      <alignment horizontal="right" wrapText="1"/>
    </xf>
    <xf numFmtId="0" fontId="35" fillId="3" borderId="7" xfId="0" applyFont="1" applyFill="1" applyBorder="1" applyAlignment="1">
      <alignment horizontal="center" wrapText="1"/>
    </xf>
    <xf numFmtId="0" fontId="35" fillId="4" borderId="7" xfId="0" applyFont="1" applyFill="1" applyBorder="1" applyAlignment="1">
      <alignment horizontal="center" wrapText="1"/>
    </xf>
    <xf numFmtId="0" fontId="35" fillId="3" borderId="6" xfId="0" applyFont="1" applyFill="1" applyBorder="1" applyAlignment="1">
      <alignment horizontal="center" wrapText="1"/>
    </xf>
    <xf numFmtId="0" fontId="35" fillId="3" borderId="6" xfId="0" applyFont="1" applyFill="1" applyBorder="1" applyAlignment="1">
      <alignment wrapText="1"/>
    </xf>
    <xf numFmtId="0" fontId="35" fillId="4" borderId="6" xfId="0" applyFont="1" applyFill="1" applyBorder="1" applyAlignment="1">
      <alignment horizontal="center" wrapText="1"/>
    </xf>
    <xf numFmtId="0" fontId="35" fillId="3" borderId="3" xfId="0" applyFont="1" applyFill="1" applyBorder="1" applyAlignment="1">
      <alignment horizontal="center" wrapText="1"/>
    </xf>
    <xf numFmtId="0" fontId="35" fillId="4" borderId="3" xfId="0" applyFont="1" applyFill="1" applyBorder="1" applyAlignment="1">
      <alignment horizontal="center" wrapText="1"/>
    </xf>
    <xf numFmtId="0" fontId="35" fillId="5" borderId="6" xfId="0" applyFont="1" applyFill="1" applyBorder="1" applyAlignment="1">
      <alignment wrapText="1"/>
    </xf>
    <xf numFmtId="0" fontId="35" fillId="4" borderId="6" xfId="0" applyFont="1" applyFill="1" applyBorder="1" applyAlignment="1">
      <alignment wrapText="1"/>
    </xf>
    <xf numFmtId="0" fontId="36" fillId="3" borderId="6" xfId="0" applyFont="1" applyFill="1" applyBorder="1" applyAlignment="1">
      <alignment horizontal="right" wrapText="1"/>
    </xf>
    <xf numFmtId="0" fontId="21" fillId="0" borderId="0" xfId="0" applyFont="1"/>
    <xf numFmtId="0" fontId="20" fillId="0" borderId="0" xfId="0" applyFont="1"/>
    <xf numFmtId="0" fontId="19" fillId="0" borderId="0" xfId="0" applyFont="1"/>
    <xf numFmtId="0" fontId="18" fillId="0" borderId="0" xfId="0" applyFont="1"/>
    <xf numFmtId="0" fontId="17" fillId="0" borderId="0" xfId="0" applyFont="1"/>
    <xf numFmtId="0" fontId="16" fillId="0" borderId="0" xfId="0" applyFont="1"/>
    <xf numFmtId="0" fontId="15" fillId="0" borderId="0" xfId="0" applyFont="1"/>
    <xf numFmtId="0" fontId="14" fillId="0" borderId="0" xfId="0" applyFont="1"/>
    <xf numFmtId="0" fontId="13" fillId="0" borderId="0" xfId="0" applyFont="1"/>
    <xf numFmtId="0" fontId="12" fillId="0" borderId="0" xfId="0" applyFont="1"/>
    <xf numFmtId="0" fontId="11" fillId="0" borderId="0" xfId="0" applyFont="1"/>
    <xf numFmtId="0" fontId="10" fillId="0" borderId="0" xfId="0" applyFont="1"/>
    <xf numFmtId="0" fontId="9" fillId="0" borderId="0" xfId="0" applyFont="1"/>
    <xf numFmtId="0" fontId="8" fillId="0" borderId="0" xfId="0" applyFont="1"/>
    <xf numFmtId="0" fontId="7" fillId="0" borderId="0" xfId="0" applyFont="1"/>
    <xf numFmtId="0" fontId="6" fillId="0" borderId="0" xfId="0" applyFont="1"/>
    <xf numFmtId="0" fontId="5" fillId="0" borderId="0" xfId="0" applyFont="1"/>
    <xf numFmtId="0" fontId="4" fillId="0" borderId="0" xfId="0" applyFont="1"/>
    <xf numFmtId="0" fontId="3" fillId="0" borderId="0" xfId="0" applyFont="1"/>
    <xf numFmtId="0" fontId="2" fillId="0" borderId="0" xfId="0" applyFont="1"/>
    <xf numFmtId="0" fontId="1" fillId="0" borderId="0" xfId="0" applyFont="1"/>
    <xf numFmtId="0" fontId="35" fillId="0" borderId="4" xfId="0" applyFont="1" applyBorder="1" applyAlignment="1">
      <alignment horizontal="center" wrapText="1"/>
    </xf>
    <xf numFmtId="0" fontId="35" fillId="0" borderId="5" xfId="0" applyFont="1" applyBorder="1" applyAlignment="1">
      <alignment horizontal="center" wrapText="1"/>
    </xf>
    <xf numFmtId="0" fontId="37" fillId="0" borderId="10" xfId="0" applyFont="1" applyBorder="1" applyAlignment="1">
      <alignment horizontal="center" vertical="center" wrapText="1"/>
    </xf>
    <xf numFmtId="0" fontId="37" fillId="0" borderId="11" xfId="0" applyFont="1" applyBorder="1" applyAlignment="1">
      <alignment horizontal="center" vertical="center" wrapText="1"/>
    </xf>
    <xf numFmtId="0" fontId="37" fillId="0" borderId="12" xfId="0" applyFont="1" applyBorder="1" applyAlignment="1">
      <alignment horizontal="center" vertical="center" wrapText="1"/>
    </xf>
    <xf numFmtId="0" fontId="37" fillId="0" borderId="13" xfId="0" applyFont="1" applyBorder="1" applyAlignment="1">
      <alignment horizontal="center" vertical="center" wrapText="1"/>
    </xf>
    <xf numFmtId="0" fontId="37" fillId="0" borderId="8" xfId="0" applyFont="1" applyBorder="1" applyAlignment="1">
      <alignment horizontal="center" vertical="center" wrapText="1"/>
    </xf>
    <xf numFmtId="0" fontId="37" fillId="0" borderId="9" xfId="0" applyFont="1" applyBorder="1" applyAlignment="1">
      <alignment horizontal="center" vertical="center" wrapText="1"/>
    </xf>
  </cellXfs>
  <cellStyles count="7">
    <cellStyle name="Accent1" xfId="5" builtinId="29"/>
    <cellStyle name="Excel Built-in Normal" xfId="6" xr:uid="{1C4F0577-F509-4315-85B8-47A48C2B5AA3}"/>
    <cellStyle name="Heading" xfId="1" xr:uid="{00000000-0005-0000-0000-000000000000}"/>
    <cellStyle name="Heading1" xfId="2" xr:uid="{00000000-0005-0000-0000-000001000000}"/>
    <cellStyle name="Normal" xfId="0" builtinId="0" customBuiltin="1"/>
    <cellStyle name="Result" xfId="3" xr:uid="{00000000-0005-0000-0000-000003000000}"/>
    <cellStyle name="Result2" xfId="4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7C7DF3-1A35-402E-AA40-93AF033BF7A2}">
  <dimension ref="A1:F185"/>
  <sheetViews>
    <sheetView tabSelected="1" zoomScaleNormal="100" workbookViewId="0">
      <pane ySplit="1" topLeftCell="A88" activePane="bottomLeft" state="frozen"/>
      <selection pane="bottomLeft" activeCell="B104" sqref="B104"/>
    </sheetView>
  </sheetViews>
  <sheetFormatPr defaultRowHeight="15" x14ac:dyDescent="0.25"/>
  <cols>
    <col min="1" max="1" width="17.5" bestFit="1" customWidth="1"/>
    <col min="2" max="3" width="8.75" customWidth="1"/>
    <col min="4" max="4" width="6.625" customWidth="1"/>
    <col min="5" max="5" width="17.625" style="51" bestFit="1" customWidth="1"/>
  </cols>
  <sheetData>
    <row r="1" spans="1:4" x14ac:dyDescent="0.25">
      <c r="A1" s="1" t="s">
        <v>0</v>
      </c>
      <c r="B1" s="1" t="s">
        <v>388</v>
      </c>
      <c r="C1" s="1" t="s">
        <v>387</v>
      </c>
      <c r="D1" s="1" t="s">
        <v>2</v>
      </c>
    </row>
    <row r="2" spans="1:4" x14ac:dyDescent="0.25">
      <c r="A2" s="50" t="s">
        <v>389</v>
      </c>
      <c r="B2" s="2">
        <v>427</v>
      </c>
      <c r="C2" s="2">
        <v>427</v>
      </c>
      <c r="D2" s="3">
        <f t="shared" ref="D2:D18" si="0">IF(C2&lt;&gt;"",IF(B2&lt;&gt;"",C2-B2,"-"), "-")</f>
        <v>0</v>
      </c>
    </row>
    <row r="3" spans="1:4" x14ac:dyDescent="0.25">
      <c r="A3" s="50" t="s">
        <v>392</v>
      </c>
      <c r="B3" s="2">
        <v>737</v>
      </c>
      <c r="C3" s="2">
        <v>758</v>
      </c>
      <c r="D3" s="3">
        <f t="shared" si="0"/>
        <v>21</v>
      </c>
    </row>
    <row r="4" spans="1:4" x14ac:dyDescent="0.25">
      <c r="A4" s="50" t="s">
        <v>391</v>
      </c>
      <c r="B4" s="2">
        <v>1088</v>
      </c>
      <c r="C4" s="2">
        <v>1107</v>
      </c>
      <c r="D4" s="3">
        <f t="shared" si="0"/>
        <v>19</v>
      </c>
    </row>
    <row r="5" spans="1:4" x14ac:dyDescent="0.25">
      <c r="A5" s="50" t="s">
        <v>390</v>
      </c>
      <c r="B5" s="2">
        <v>1573</v>
      </c>
      <c r="C5" s="2">
        <v>1602</v>
      </c>
      <c r="D5" s="3">
        <f t="shared" si="0"/>
        <v>29</v>
      </c>
    </row>
    <row r="6" spans="1:4" x14ac:dyDescent="0.25">
      <c r="A6" s="50" t="s">
        <v>393</v>
      </c>
      <c r="B6" s="2">
        <v>1920</v>
      </c>
      <c r="C6" s="2">
        <v>1950</v>
      </c>
      <c r="D6" s="3">
        <f t="shared" si="0"/>
        <v>30</v>
      </c>
    </row>
    <row r="7" spans="1:4" x14ac:dyDescent="0.25">
      <c r="A7" s="50" t="s">
        <v>251</v>
      </c>
      <c r="B7" s="2">
        <v>2312</v>
      </c>
      <c r="C7" s="2">
        <v>2371</v>
      </c>
      <c r="D7" s="3">
        <f t="shared" si="0"/>
        <v>59</v>
      </c>
    </row>
    <row r="8" spans="1:4" x14ac:dyDescent="0.25">
      <c r="A8" s="50" t="s">
        <v>394</v>
      </c>
      <c r="B8" s="7">
        <v>2660</v>
      </c>
      <c r="C8" s="7">
        <v>2719</v>
      </c>
      <c r="D8" s="3">
        <f t="shared" si="0"/>
        <v>59</v>
      </c>
    </row>
    <row r="9" spans="1:4" x14ac:dyDescent="0.25">
      <c r="A9" s="50" t="s">
        <v>253</v>
      </c>
      <c r="B9" s="7">
        <v>3108</v>
      </c>
      <c r="C9" s="7">
        <v>3195</v>
      </c>
      <c r="D9" s="3">
        <f t="shared" si="0"/>
        <v>87</v>
      </c>
    </row>
    <row r="10" spans="1:4" x14ac:dyDescent="0.25">
      <c r="A10" s="50" t="s">
        <v>395</v>
      </c>
      <c r="B10" s="7"/>
      <c r="C10" s="7">
        <v>3543</v>
      </c>
      <c r="D10" s="3" t="str">
        <f t="shared" si="0"/>
        <v>-</v>
      </c>
    </row>
    <row r="11" spans="1:4" x14ac:dyDescent="0.25">
      <c r="A11" s="50" t="s">
        <v>255</v>
      </c>
      <c r="B11" s="7">
        <v>3739</v>
      </c>
      <c r="C11" s="7">
        <v>3829</v>
      </c>
      <c r="D11" s="3">
        <f t="shared" si="0"/>
        <v>90</v>
      </c>
    </row>
    <row r="12" spans="1:4" x14ac:dyDescent="0.25">
      <c r="A12" s="50" t="s">
        <v>396</v>
      </c>
      <c r="B12" s="7">
        <v>4089</v>
      </c>
      <c r="C12" s="7">
        <v>4178</v>
      </c>
      <c r="D12" s="3">
        <f t="shared" si="0"/>
        <v>89</v>
      </c>
    </row>
    <row r="13" spans="1:4" x14ac:dyDescent="0.25">
      <c r="A13" s="50" t="s">
        <v>257</v>
      </c>
      <c r="B13" s="7">
        <v>5097</v>
      </c>
      <c r="C13" s="37">
        <v>5190</v>
      </c>
      <c r="D13" s="3">
        <f t="shared" si="0"/>
        <v>93</v>
      </c>
    </row>
    <row r="14" spans="1:4" x14ac:dyDescent="0.25">
      <c r="A14" s="50" t="s">
        <v>397</v>
      </c>
      <c r="B14" s="7">
        <v>5447</v>
      </c>
      <c r="C14" s="7">
        <v>5539</v>
      </c>
      <c r="D14" s="3">
        <f t="shared" si="0"/>
        <v>92</v>
      </c>
    </row>
    <row r="15" spans="1:4" x14ac:dyDescent="0.25">
      <c r="A15" s="50" t="s">
        <v>259</v>
      </c>
      <c r="B15" s="7">
        <v>5910</v>
      </c>
      <c r="C15" s="7">
        <v>6003</v>
      </c>
      <c r="D15" s="3">
        <f t="shared" si="0"/>
        <v>93</v>
      </c>
    </row>
    <row r="16" spans="1:4" x14ac:dyDescent="0.25">
      <c r="A16" s="50" t="s">
        <v>410</v>
      </c>
      <c r="B16" s="7">
        <v>6260</v>
      </c>
      <c r="C16" s="7">
        <v>6352</v>
      </c>
      <c r="D16" s="3">
        <f t="shared" si="0"/>
        <v>92</v>
      </c>
    </row>
    <row r="17" spans="1:5" x14ac:dyDescent="0.25">
      <c r="A17" s="50" t="s">
        <v>267</v>
      </c>
      <c r="B17" s="7">
        <v>6660</v>
      </c>
      <c r="C17" s="7">
        <v>6759</v>
      </c>
      <c r="D17" s="3">
        <f t="shared" si="0"/>
        <v>99</v>
      </c>
    </row>
    <row r="18" spans="1:5" x14ac:dyDescent="0.25">
      <c r="A18" s="50" t="s">
        <v>398</v>
      </c>
      <c r="B18" s="7">
        <v>7008</v>
      </c>
      <c r="C18" s="7">
        <v>7106</v>
      </c>
      <c r="D18" s="3">
        <f t="shared" si="0"/>
        <v>98</v>
      </c>
    </row>
    <row r="19" spans="1:5" x14ac:dyDescent="0.25">
      <c r="A19" s="50" t="s">
        <v>274</v>
      </c>
      <c r="B19" s="7">
        <v>8096</v>
      </c>
      <c r="C19" s="7">
        <v>8196</v>
      </c>
      <c r="D19" s="3">
        <f t="shared" ref="D19:D50" si="1">IF(C19&lt;&gt;"",IF(B19&lt;&gt;"",C19-B19,"-"), "-")</f>
        <v>100</v>
      </c>
    </row>
    <row r="20" spans="1:5" x14ac:dyDescent="0.25">
      <c r="A20" s="50" t="s">
        <v>399</v>
      </c>
      <c r="B20" s="7">
        <v>8453</v>
      </c>
      <c r="C20" s="7">
        <v>8549</v>
      </c>
      <c r="D20" s="3">
        <f t="shared" si="1"/>
        <v>96</v>
      </c>
    </row>
    <row r="21" spans="1:5" x14ac:dyDescent="0.25">
      <c r="A21" s="50" t="s">
        <v>276</v>
      </c>
      <c r="B21" s="7">
        <v>9024</v>
      </c>
      <c r="C21" s="7">
        <v>9118</v>
      </c>
      <c r="D21" s="3">
        <f t="shared" si="1"/>
        <v>94</v>
      </c>
    </row>
    <row r="22" spans="1:5" x14ac:dyDescent="0.25">
      <c r="A22" s="50" t="s">
        <v>400</v>
      </c>
      <c r="B22" s="7">
        <v>9372</v>
      </c>
      <c r="C22" s="7">
        <v>9467</v>
      </c>
      <c r="D22" s="3">
        <f t="shared" si="1"/>
        <v>95</v>
      </c>
    </row>
    <row r="23" spans="1:5" x14ac:dyDescent="0.25">
      <c r="A23" s="50" t="s">
        <v>278</v>
      </c>
      <c r="B23" s="7">
        <v>9676</v>
      </c>
      <c r="C23" s="7">
        <v>9778</v>
      </c>
      <c r="D23" s="3">
        <f t="shared" si="1"/>
        <v>102</v>
      </c>
    </row>
    <row r="24" spans="1:5" x14ac:dyDescent="0.25">
      <c r="A24" s="50" t="s">
        <v>401</v>
      </c>
      <c r="B24" s="7">
        <v>10021</v>
      </c>
      <c r="C24" s="7">
        <v>10125</v>
      </c>
      <c r="D24" s="3">
        <f t="shared" si="1"/>
        <v>104</v>
      </c>
    </row>
    <row r="25" spans="1:5" x14ac:dyDescent="0.25">
      <c r="A25" s="50" t="s">
        <v>281</v>
      </c>
      <c r="B25" s="7">
        <v>10658</v>
      </c>
      <c r="C25" s="7">
        <v>10816</v>
      </c>
      <c r="D25" s="3">
        <f t="shared" si="1"/>
        <v>158</v>
      </c>
    </row>
    <row r="26" spans="1:5" x14ac:dyDescent="0.25">
      <c r="A26" s="50" t="s">
        <v>402</v>
      </c>
      <c r="B26" s="7">
        <v>11015</v>
      </c>
      <c r="C26" s="7">
        <v>11163</v>
      </c>
      <c r="D26" s="3">
        <f t="shared" si="1"/>
        <v>148</v>
      </c>
    </row>
    <row r="27" spans="1:5" x14ac:dyDescent="0.25">
      <c r="A27" s="50" t="s">
        <v>283</v>
      </c>
      <c r="B27" s="7">
        <v>11573</v>
      </c>
      <c r="C27" s="7">
        <v>11729</v>
      </c>
      <c r="D27" s="3">
        <f t="shared" si="1"/>
        <v>156</v>
      </c>
    </row>
    <row r="28" spans="1:5" x14ac:dyDescent="0.25">
      <c r="A28" s="50" t="s">
        <v>403</v>
      </c>
      <c r="B28" s="51">
        <v>11928</v>
      </c>
      <c r="C28" s="7">
        <v>12383</v>
      </c>
      <c r="D28" s="3">
        <f t="shared" si="1"/>
        <v>455</v>
      </c>
      <c r="E28" s="51" t="s">
        <v>422</v>
      </c>
    </row>
    <row r="29" spans="1:5" ht="15.75" customHeight="1" x14ac:dyDescent="0.25">
      <c r="A29" s="50" t="s">
        <v>285</v>
      </c>
      <c r="B29" s="7">
        <v>12640</v>
      </c>
      <c r="C29" s="7">
        <v>12891</v>
      </c>
      <c r="D29" s="3">
        <f t="shared" si="1"/>
        <v>251</v>
      </c>
    </row>
    <row r="30" spans="1:5" ht="15.75" customHeight="1" x14ac:dyDescent="0.25">
      <c r="A30" s="50" t="s">
        <v>404</v>
      </c>
      <c r="B30" s="7">
        <v>12992</v>
      </c>
      <c r="C30" s="7">
        <v>13236</v>
      </c>
      <c r="D30" s="3">
        <f t="shared" si="1"/>
        <v>244</v>
      </c>
    </row>
    <row r="31" spans="1:5" ht="15.75" customHeight="1" x14ac:dyDescent="0.25">
      <c r="A31" s="50" t="s">
        <v>288</v>
      </c>
      <c r="B31" s="7">
        <v>13719</v>
      </c>
      <c r="C31" s="7">
        <v>13960</v>
      </c>
      <c r="D31" s="3">
        <f t="shared" si="1"/>
        <v>241</v>
      </c>
    </row>
    <row r="32" spans="1:5" ht="15.75" customHeight="1" x14ac:dyDescent="0.25">
      <c r="A32" s="50" t="s">
        <v>405</v>
      </c>
      <c r="B32" s="7">
        <v>14077</v>
      </c>
      <c r="C32" s="7">
        <v>14320</v>
      </c>
      <c r="D32" s="3">
        <f t="shared" si="1"/>
        <v>243</v>
      </c>
    </row>
    <row r="33" spans="1:4" x14ac:dyDescent="0.25">
      <c r="A33" s="50" t="s">
        <v>294</v>
      </c>
      <c r="B33" s="7">
        <v>14437</v>
      </c>
      <c r="C33" s="7">
        <v>14679</v>
      </c>
      <c r="D33" s="3">
        <f t="shared" si="1"/>
        <v>242</v>
      </c>
    </row>
    <row r="34" spans="1:4" x14ac:dyDescent="0.25">
      <c r="A34" s="50" t="s">
        <v>406</v>
      </c>
      <c r="B34" s="7">
        <v>14788</v>
      </c>
      <c r="C34" s="7">
        <v>15029</v>
      </c>
      <c r="D34" s="3">
        <f t="shared" si="1"/>
        <v>241</v>
      </c>
    </row>
    <row r="35" spans="1:4" x14ac:dyDescent="0.25">
      <c r="A35" s="50" t="s">
        <v>297</v>
      </c>
      <c r="B35" s="7">
        <v>15603</v>
      </c>
      <c r="C35" s="7">
        <v>15850</v>
      </c>
      <c r="D35" s="3">
        <f t="shared" si="1"/>
        <v>247</v>
      </c>
    </row>
    <row r="36" spans="1:4" x14ac:dyDescent="0.25">
      <c r="A36" s="50" t="s">
        <v>407</v>
      </c>
      <c r="B36" s="7">
        <v>15955</v>
      </c>
      <c r="C36" s="7">
        <v>16200</v>
      </c>
      <c r="D36" s="3">
        <f t="shared" si="1"/>
        <v>245</v>
      </c>
    </row>
    <row r="37" spans="1:4" x14ac:dyDescent="0.25">
      <c r="A37" s="50" t="s">
        <v>301</v>
      </c>
      <c r="B37" s="7">
        <v>16796</v>
      </c>
      <c r="C37" s="33">
        <v>17135</v>
      </c>
      <c r="D37" s="3">
        <f t="shared" si="1"/>
        <v>339</v>
      </c>
    </row>
    <row r="38" spans="1:4" x14ac:dyDescent="0.25">
      <c r="A38" s="50" t="s">
        <v>408</v>
      </c>
      <c r="B38" s="52">
        <v>17147</v>
      </c>
      <c r="C38" s="7">
        <v>17485</v>
      </c>
      <c r="D38" s="3">
        <f t="shared" si="1"/>
        <v>338</v>
      </c>
    </row>
    <row r="39" spans="1:4" x14ac:dyDescent="0.25">
      <c r="A39" s="50" t="s">
        <v>305</v>
      </c>
      <c r="B39" s="7">
        <v>17443</v>
      </c>
      <c r="C39" s="7">
        <v>17791</v>
      </c>
      <c r="D39" s="3">
        <f t="shared" si="1"/>
        <v>348</v>
      </c>
    </row>
    <row r="40" spans="1:4" x14ac:dyDescent="0.25">
      <c r="A40" s="50" t="s">
        <v>409</v>
      </c>
      <c r="B40" s="7">
        <v>17790</v>
      </c>
      <c r="C40" s="37">
        <v>18139</v>
      </c>
      <c r="D40" s="3">
        <f t="shared" si="1"/>
        <v>349</v>
      </c>
    </row>
    <row r="41" spans="1:4" x14ac:dyDescent="0.25">
      <c r="A41" s="50" t="s">
        <v>308</v>
      </c>
      <c r="B41" s="7">
        <v>18359</v>
      </c>
      <c r="C41" s="7">
        <v>18719</v>
      </c>
      <c r="D41" s="3">
        <f t="shared" si="1"/>
        <v>360</v>
      </c>
    </row>
    <row r="42" spans="1:4" x14ac:dyDescent="0.25">
      <c r="A42" s="50" t="s">
        <v>411</v>
      </c>
      <c r="B42" s="7">
        <v>18708</v>
      </c>
      <c r="C42" s="7">
        <v>19068</v>
      </c>
      <c r="D42" s="3">
        <f t="shared" si="1"/>
        <v>360</v>
      </c>
    </row>
    <row r="43" spans="1:4" x14ac:dyDescent="0.25">
      <c r="A43" s="50" t="s">
        <v>314</v>
      </c>
      <c r="B43" s="7">
        <v>19521</v>
      </c>
      <c r="C43" s="7">
        <v>19892</v>
      </c>
      <c r="D43" s="3">
        <f t="shared" si="1"/>
        <v>371</v>
      </c>
    </row>
    <row r="44" spans="1:4" x14ac:dyDescent="0.25">
      <c r="A44" s="50" t="s">
        <v>412</v>
      </c>
      <c r="B44" s="7">
        <v>19868</v>
      </c>
      <c r="C44" s="7">
        <v>20240</v>
      </c>
      <c r="D44" s="3">
        <f t="shared" si="1"/>
        <v>372</v>
      </c>
    </row>
    <row r="45" spans="1:4" x14ac:dyDescent="0.25">
      <c r="A45" s="50" t="s">
        <v>320</v>
      </c>
      <c r="B45" s="7">
        <v>20425</v>
      </c>
      <c r="C45" s="7">
        <v>20813</v>
      </c>
      <c r="D45" s="3">
        <f t="shared" si="1"/>
        <v>388</v>
      </c>
    </row>
    <row r="46" spans="1:4" x14ac:dyDescent="0.25">
      <c r="A46" s="50" t="s">
        <v>413</v>
      </c>
      <c r="B46" s="7">
        <v>20772</v>
      </c>
      <c r="C46" s="7">
        <v>21161</v>
      </c>
      <c r="D46" s="3">
        <f t="shared" si="1"/>
        <v>389</v>
      </c>
    </row>
    <row r="47" spans="1:4" x14ac:dyDescent="0.25">
      <c r="A47" s="50" t="s">
        <v>322</v>
      </c>
      <c r="B47" s="7">
        <v>21789</v>
      </c>
      <c r="C47" s="7">
        <v>22195</v>
      </c>
      <c r="D47" s="3">
        <f t="shared" si="1"/>
        <v>406</v>
      </c>
    </row>
    <row r="48" spans="1:4" x14ac:dyDescent="0.25">
      <c r="A48" s="50" t="s">
        <v>414</v>
      </c>
      <c r="B48" s="7">
        <v>22138</v>
      </c>
      <c r="C48" s="7">
        <v>22543</v>
      </c>
      <c r="D48" s="3">
        <f t="shared" si="1"/>
        <v>405</v>
      </c>
    </row>
    <row r="49" spans="1:6" x14ac:dyDescent="0.25">
      <c r="A49" s="50" t="s">
        <v>324</v>
      </c>
      <c r="B49" s="7">
        <v>22553</v>
      </c>
      <c r="C49" s="7">
        <v>22963</v>
      </c>
      <c r="D49" s="3">
        <f t="shared" si="1"/>
        <v>410</v>
      </c>
    </row>
    <row r="50" spans="1:6" x14ac:dyDescent="0.25">
      <c r="A50" s="50" t="s">
        <v>415</v>
      </c>
      <c r="B50" s="7">
        <v>22936</v>
      </c>
      <c r="C50" s="7">
        <v>23346</v>
      </c>
      <c r="D50" s="3">
        <f t="shared" si="1"/>
        <v>410</v>
      </c>
    </row>
    <row r="51" spans="1:6" x14ac:dyDescent="0.25">
      <c r="A51" s="50" t="s">
        <v>416</v>
      </c>
      <c r="B51" s="7">
        <v>23443</v>
      </c>
      <c r="C51" s="7">
        <v>23873</v>
      </c>
      <c r="D51" s="3">
        <f t="shared" ref="D51:D81" si="2">IF(C51&lt;&gt;"",IF(B51&lt;&gt;"",C51-B51,"-"), "-")</f>
        <v>430</v>
      </c>
    </row>
    <row r="52" spans="1:6" x14ac:dyDescent="0.25">
      <c r="A52" s="50" t="s">
        <v>417</v>
      </c>
      <c r="B52" s="8">
        <v>23790</v>
      </c>
      <c r="C52" s="50">
        <v>24221</v>
      </c>
      <c r="D52" s="3">
        <f t="shared" si="2"/>
        <v>431</v>
      </c>
    </row>
    <row r="53" spans="1:6" x14ac:dyDescent="0.25">
      <c r="A53" s="50" t="s">
        <v>418</v>
      </c>
      <c r="B53" s="33">
        <v>24666</v>
      </c>
      <c r="C53" s="33">
        <v>25101</v>
      </c>
      <c r="D53" s="3">
        <f t="shared" si="2"/>
        <v>435</v>
      </c>
    </row>
    <row r="54" spans="1:6" x14ac:dyDescent="0.25">
      <c r="A54" s="50" t="s">
        <v>419</v>
      </c>
      <c r="B54" s="7">
        <v>25015</v>
      </c>
      <c r="C54" s="7">
        <v>25450</v>
      </c>
      <c r="D54" s="3">
        <f t="shared" si="2"/>
        <v>435</v>
      </c>
    </row>
    <row r="55" spans="1:6" x14ac:dyDescent="0.25">
      <c r="A55" s="50" t="s">
        <v>420</v>
      </c>
      <c r="B55" s="7">
        <v>25880</v>
      </c>
      <c r="C55" s="7">
        <v>26350</v>
      </c>
      <c r="D55" s="3">
        <f t="shared" si="2"/>
        <v>470</v>
      </c>
    </row>
    <row r="56" spans="1:6" x14ac:dyDescent="0.25">
      <c r="A56" s="50" t="s">
        <v>421</v>
      </c>
      <c r="B56" s="7">
        <v>26231</v>
      </c>
      <c r="C56" s="7">
        <v>26699</v>
      </c>
      <c r="D56" s="3">
        <f t="shared" si="2"/>
        <v>468</v>
      </c>
    </row>
    <row r="57" spans="1:6" x14ac:dyDescent="0.25">
      <c r="A57" s="50" t="s">
        <v>332</v>
      </c>
      <c r="B57" s="7">
        <v>27018</v>
      </c>
      <c r="C57" s="7">
        <v>27490</v>
      </c>
      <c r="D57" s="3">
        <f t="shared" si="2"/>
        <v>472</v>
      </c>
    </row>
    <row r="58" spans="1:6" x14ac:dyDescent="0.25">
      <c r="A58" s="50" t="s">
        <v>5</v>
      </c>
      <c r="B58" s="7">
        <v>27365</v>
      </c>
      <c r="C58" s="7">
        <v>27836</v>
      </c>
      <c r="D58" s="3">
        <f t="shared" si="2"/>
        <v>471</v>
      </c>
    </row>
    <row r="59" spans="1:6" x14ac:dyDescent="0.25">
      <c r="A59" s="50" t="s">
        <v>337</v>
      </c>
      <c r="B59" s="7">
        <v>28423</v>
      </c>
      <c r="C59" s="7">
        <v>28899</v>
      </c>
      <c r="D59" s="3">
        <f t="shared" si="2"/>
        <v>476</v>
      </c>
    </row>
    <row r="60" spans="1:6" x14ac:dyDescent="0.25">
      <c r="A60" s="50" t="s">
        <v>6</v>
      </c>
      <c r="B60" s="7">
        <v>28772</v>
      </c>
      <c r="C60" s="7">
        <v>29248</v>
      </c>
      <c r="D60" s="3">
        <f t="shared" si="2"/>
        <v>476</v>
      </c>
    </row>
    <row r="61" spans="1:6" x14ac:dyDescent="0.25">
      <c r="A61" s="50" t="s">
        <v>45</v>
      </c>
      <c r="B61" s="7">
        <v>29478</v>
      </c>
      <c r="C61" s="7">
        <v>29962</v>
      </c>
      <c r="D61" s="3">
        <f t="shared" si="2"/>
        <v>484</v>
      </c>
    </row>
    <row r="62" spans="1:6" x14ac:dyDescent="0.25">
      <c r="A62" s="50" t="s">
        <v>7</v>
      </c>
      <c r="B62" s="7">
        <v>29826</v>
      </c>
      <c r="C62" s="7">
        <v>30309</v>
      </c>
      <c r="D62" s="3">
        <f t="shared" si="2"/>
        <v>483</v>
      </c>
    </row>
    <row r="63" spans="1:6" x14ac:dyDescent="0.25">
      <c r="A63" s="50" t="s">
        <v>46</v>
      </c>
      <c r="B63" s="7">
        <v>29996</v>
      </c>
      <c r="C63" s="7">
        <v>30479</v>
      </c>
      <c r="D63" s="3">
        <f t="shared" si="2"/>
        <v>483</v>
      </c>
      <c r="F63" t="s">
        <v>423</v>
      </c>
    </row>
    <row r="64" spans="1:6" x14ac:dyDescent="0.25">
      <c r="A64" s="50" t="s">
        <v>8</v>
      </c>
      <c r="B64" s="7">
        <v>30361</v>
      </c>
      <c r="C64" s="7">
        <v>31125</v>
      </c>
      <c r="D64" s="3">
        <f t="shared" si="2"/>
        <v>764</v>
      </c>
      <c r="E64" s="51" t="s">
        <v>422</v>
      </c>
      <c r="F64" s="7">
        <v>30642</v>
      </c>
    </row>
    <row r="65" spans="1:6" x14ac:dyDescent="0.25">
      <c r="A65" s="50" t="s">
        <v>28</v>
      </c>
      <c r="B65" s="7">
        <v>31078</v>
      </c>
      <c r="C65" s="7">
        <v>31643</v>
      </c>
      <c r="D65" s="3">
        <f t="shared" si="2"/>
        <v>565</v>
      </c>
      <c r="F65" s="7">
        <v>31158</v>
      </c>
    </row>
    <row r="66" spans="1:6" x14ac:dyDescent="0.25">
      <c r="A66" s="50" t="s">
        <v>9</v>
      </c>
      <c r="B66" s="7">
        <v>31433</v>
      </c>
      <c r="C66" s="7">
        <v>31991</v>
      </c>
      <c r="D66" s="3">
        <f t="shared" si="2"/>
        <v>558</v>
      </c>
    </row>
    <row r="67" spans="1:6" x14ac:dyDescent="0.25">
      <c r="A67" s="50" t="s">
        <v>29</v>
      </c>
      <c r="B67" s="7">
        <v>32026</v>
      </c>
      <c r="C67" s="7">
        <v>32586</v>
      </c>
      <c r="D67" s="3">
        <f t="shared" si="2"/>
        <v>560</v>
      </c>
      <c r="F67" t="s">
        <v>423</v>
      </c>
    </row>
    <row r="68" spans="1:6" x14ac:dyDescent="0.25">
      <c r="A68" s="50" t="s">
        <v>10</v>
      </c>
      <c r="B68" s="7">
        <v>32379</v>
      </c>
      <c r="C68" s="7">
        <v>33254</v>
      </c>
      <c r="D68" s="3">
        <f t="shared" si="2"/>
        <v>875</v>
      </c>
      <c r="E68" s="51" t="s">
        <v>422</v>
      </c>
      <c r="F68" s="7">
        <v>32694</v>
      </c>
    </row>
    <row r="69" spans="1:6" x14ac:dyDescent="0.25">
      <c r="A69" s="50" t="s">
        <v>31</v>
      </c>
      <c r="B69" s="7">
        <v>33211</v>
      </c>
      <c r="C69" s="7">
        <v>33883</v>
      </c>
      <c r="D69" s="3">
        <f t="shared" si="2"/>
        <v>672</v>
      </c>
      <c r="F69" s="7">
        <v>33321</v>
      </c>
    </row>
    <row r="70" spans="1:6" x14ac:dyDescent="0.25">
      <c r="A70" s="50" t="s">
        <v>11</v>
      </c>
      <c r="B70" s="7">
        <v>33563</v>
      </c>
      <c r="C70" s="7">
        <v>34230</v>
      </c>
      <c r="D70" s="3">
        <f t="shared" si="2"/>
        <v>667</v>
      </c>
    </row>
    <row r="71" spans="1:6" x14ac:dyDescent="0.25">
      <c r="A71" s="50" t="s">
        <v>30</v>
      </c>
      <c r="B71" s="7">
        <v>34198</v>
      </c>
      <c r="C71" s="7">
        <v>34862</v>
      </c>
      <c r="D71" s="3">
        <f t="shared" si="2"/>
        <v>664</v>
      </c>
    </row>
    <row r="72" spans="1:6" x14ac:dyDescent="0.25">
      <c r="A72" s="50" t="s">
        <v>12</v>
      </c>
      <c r="B72" s="7">
        <v>34546</v>
      </c>
      <c r="C72" s="7">
        <v>35218</v>
      </c>
      <c r="D72" s="3">
        <f t="shared" si="2"/>
        <v>672</v>
      </c>
    </row>
    <row r="73" spans="1:6" x14ac:dyDescent="0.25">
      <c r="A73" s="50" t="s">
        <v>32</v>
      </c>
      <c r="B73" s="7">
        <v>35096</v>
      </c>
      <c r="C73" s="7">
        <v>35772</v>
      </c>
      <c r="D73" s="3">
        <f t="shared" si="2"/>
        <v>676</v>
      </c>
    </row>
    <row r="74" spans="1:6" x14ac:dyDescent="0.25">
      <c r="A74" s="50" t="s">
        <v>13</v>
      </c>
      <c r="B74" s="7">
        <v>35441</v>
      </c>
      <c r="C74" s="7">
        <v>36120</v>
      </c>
      <c r="D74" s="3">
        <f t="shared" si="2"/>
        <v>679</v>
      </c>
    </row>
    <row r="75" spans="1:6" x14ac:dyDescent="0.25">
      <c r="A75" s="50" t="s">
        <v>47</v>
      </c>
      <c r="B75" s="7">
        <v>36210</v>
      </c>
      <c r="C75" s="7">
        <v>36893</v>
      </c>
      <c r="D75" s="3">
        <f t="shared" si="2"/>
        <v>683</v>
      </c>
    </row>
    <row r="76" spans="1:6" x14ac:dyDescent="0.25">
      <c r="A76" s="50" t="s">
        <v>48</v>
      </c>
      <c r="B76" s="7">
        <v>36557</v>
      </c>
      <c r="C76" s="7">
        <v>37238</v>
      </c>
      <c r="D76" s="3">
        <f t="shared" si="2"/>
        <v>681</v>
      </c>
    </row>
    <row r="77" spans="1:6" x14ac:dyDescent="0.25">
      <c r="A77" s="50" t="s">
        <v>33</v>
      </c>
      <c r="B77" s="7">
        <v>37389</v>
      </c>
      <c r="C77" s="7">
        <v>38097</v>
      </c>
      <c r="D77" s="3">
        <f t="shared" si="2"/>
        <v>708</v>
      </c>
    </row>
    <row r="78" spans="1:6" x14ac:dyDescent="0.25">
      <c r="A78" s="50" t="s">
        <v>14</v>
      </c>
      <c r="B78" s="7">
        <v>37740</v>
      </c>
      <c r="C78" s="7">
        <v>38443</v>
      </c>
      <c r="D78" s="3">
        <f t="shared" si="2"/>
        <v>703</v>
      </c>
    </row>
    <row r="79" spans="1:6" x14ac:dyDescent="0.25">
      <c r="A79" s="50" t="s">
        <v>34</v>
      </c>
      <c r="B79" s="7">
        <v>37991</v>
      </c>
      <c r="C79" s="7">
        <v>38692</v>
      </c>
      <c r="D79" s="3">
        <f t="shared" si="2"/>
        <v>701</v>
      </c>
    </row>
    <row r="80" spans="1:6" x14ac:dyDescent="0.25">
      <c r="A80" s="50" t="s">
        <v>15</v>
      </c>
      <c r="B80" s="7">
        <v>38340</v>
      </c>
      <c r="C80" s="7">
        <v>39041</v>
      </c>
      <c r="D80" s="3">
        <f t="shared" si="2"/>
        <v>701</v>
      </c>
    </row>
    <row r="81" spans="1:5" x14ac:dyDescent="0.25">
      <c r="A81" s="50" t="s">
        <v>35</v>
      </c>
      <c r="B81" s="7">
        <v>39308</v>
      </c>
      <c r="C81" s="7">
        <v>40011</v>
      </c>
      <c r="D81" s="3">
        <f t="shared" si="2"/>
        <v>703</v>
      </c>
    </row>
    <row r="82" spans="1:5" x14ac:dyDescent="0.25">
      <c r="A82" s="50" t="s">
        <v>16</v>
      </c>
      <c r="B82" s="7">
        <v>39662</v>
      </c>
      <c r="C82" s="7">
        <v>40358</v>
      </c>
      <c r="D82" s="3">
        <f t="shared" ref="D82:D101" si="3">IF(C82&lt;&gt;"",IF(B82&lt;&gt;"",C82-B82,"-"), "-")</f>
        <v>696</v>
      </c>
      <c r="E82" s="53" t="s">
        <v>424</v>
      </c>
    </row>
    <row r="83" spans="1:5" x14ac:dyDescent="0.25">
      <c r="A83" s="50" t="s">
        <v>36</v>
      </c>
      <c r="B83" s="53">
        <v>40406</v>
      </c>
      <c r="C83" s="7">
        <v>41117</v>
      </c>
      <c r="D83" s="3">
        <f t="shared" si="3"/>
        <v>711</v>
      </c>
    </row>
    <row r="84" spans="1:5" x14ac:dyDescent="0.25">
      <c r="A84" s="50" t="s">
        <v>17</v>
      </c>
      <c r="B84" s="7">
        <v>40757</v>
      </c>
      <c r="C84" s="7">
        <v>41465</v>
      </c>
      <c r="D84" s="3">
        <f t="shared" si="3"/>
        <v>708</v>
      </c>
    </row>
    <row r="85" spans="1:5" x14ac:dyDescent="0.25">
      <c r="A85" s="50" t="s">
        <v>37</v>
      </c>
      <c r="B85" s="7">
        <v>41743</v>
      </c>
      <c r="C85" s="7">
        <v>42450</v>
      </c>
      <c r="D85" s="3">
        <f t="shared" si="3"/>
        <v>707</v>
      </c>
    </row>
    <row r="86" spans="1:5" x14ac:dyDescent="0.25">
      <c r="A86" s="50" t="s">
        <v>18</v>
      </c>
      <c r="B86" s="7">
        <v>42094</v>
      </c>
      <c r="C86" s="7">
        <v>42799</v>
      </c>
      <c r="D86" s="3">
        <f t="shared" si="3"/>
        <v>705</v>
      </c>
      <c r="E86" s="7">
        <v>42090</v>
      </c>
    </row>
    <row r="87" spans="1:5" x14ac:dyDescent="0.25">
      <c r="A87" s="50" t="s">
        <v>38</v>
      </c>
      <c r="B87" s="7">
        <v>42444</v>
      </c>
      <c r="C87" s="7">
        <v>43144</v>
      </c>
      <c r="D87" s="3">
        <f t="shared" si="3"/>
        <v>700</v>
      </c>
    </row>
    <row r="88" spans="1:5" ht="15.75" customHeight="1" x14ac:dyDescent="0.25">
      <c r="A88" s="50" t="s">
        <v>19</v>
      </c>
      <c r="B88" s="7">
        <v>42790</v>
      </c>
      <c r="C88" s="7">
        <v>43491</v>
      </c>
      <c r="D88" s="3">
        <f t="shared" si="3"/>
        <v>701</v>
      </c>
    </row>
    <row r="89" spans="1:5" x14ac:dyDescent="0.25">
      <c r="A89" s="50" t="s">
        <v>39</v>
      </c>
      <c r="B89" s="7">
        <v>43365</v>
      </c>
      <c r="C89" s="7">
        <v>44165</v>
      </c>
      <c r="D89" s="3">
        <f t="shared" si="3"/>
        <v>800</v>
      </c>
    </row>
    <row r="90" spans="1:5" x14ac:dyDescent="0.25">
      <c r="A90" s="50" t="s">
        <v>20</v>
      </c>
      <c r="B90" s="7">
        <v>43715</v>
      </c>
      <c r="C90" s="7">
        <v>44512</v>
      </c>
      <c r="D90" s="3">
        <f t="shared" si="3"/>
        <v>797</v>
      </c>
    </row>
    <row r="91" spans="1:5" x14ac:dyDescent="0.25">
      <c r="A91" s="50" t="s">
        <v>40</v>
      </c>
      <c r="B91" s="7">
        <v>44263</v>
      </c>
      <c r="C91" s="7">
        <v>45061</v>
      </c>
      <c r="D91" s="3">
        <f t="shared" si="3"/>
        <v>798</v>
      </c>
    </row>
    <row r="92" spans="1:5" x14ac:dyDescent="0.25">
      <c r="A92" s="50" t="s">
        <v>21</v>
      </c>
      <c r="B92" s="7">
        <v>44616</v>
      </c>
      <c r="C92" s="7">
        <v>45411</v>
      </c>
      <c r="D92" s="3">
        <f t="shared" si="3"/>
        <v>795</v>
      </c>
    </row>
    <row r="93" spans="1:5" x14ac:dyDescent="0.25">
      <c r="A93" s="50" t="s">
        <v>41</v>
      </c>
      <c r="B93" s="7">
        <v>45194</v>
      </c>
      <c r="C93" s="7">
        <v>45990</v>
      </c>
      <c r="D93" s="3">
        <f t="shared" si="3"/>
        <v>796</v>
      </c>
    </row>
    <row r="94" spans="1:5" x14ac:dyDescent="0.25">
      <c r="A94" s="50" t="s">
        <v>22</v>
      </c>
      <c r="B94" s="7">
        <v>45555</v>
      </c>
      <c r="C94" s="7">
        <v>46652</v>
      </c>
      <c r="D94" s="3">
        <f t="shared" si="3"/>
        <v>1097</v>
      </c>
      <c r="E94" s="51" t="s">
        <v>422</v>
      </c>
    </row>
    <row r="95" spans="1:5" x14ac:dyDescent="0.25">
      <c r="A95" s="50" t="s">
        <v>42</v>
      </c>
      <c r="B95" s="7">
        <v>46538</v>
      </c>
      <c r="C95" s="7">
        <v>47436</v>
      </c>
      <c r="D95" s="3">
        <f t="shared" si="3"/>
        <v>898</v>
      </c>
    </row>
    <row r="96" spans="1:5" x14ac:dyDescent="0.25">
      <c r="A96" s="50" t="s">
        <v>23</v>
      </c>
      <c r="B96" s="9">
        <v>46894</v>
      </c>
      <c r="C96" s="9">
        <v>47786</v>
      </c>
      <c r="D96" s="3">
        <f t="shared" si="3"/>
        <v>892</v>
      </c>
    </row>
    <row r="97" spans="1:6" x14ac:dyDescent="0.25">
      <c r="A97" s="50" t="s">
        <v>43</v>
      </c>
      <c r="B97" s="7">
        <v>47439</v>
      </c>
      <c r="C97" s="7">
        <v>48337</v>
      </c>
      <c r="D97" s="3">
        <f t="shared" si="3"/>
        <v>898</v>
      </c>
    </row>
    <row r="98" spans="1:6" x14ac:dyDescent="0.25">
      <c r="A98" s="50" t="s">
        <v>24</v>
      </c>
      <c r="B98" s="7">
        <v>47790</v>
      </c>
      <c r="C98" s="7">
        <v>48681</v>
      </c>
      <c r="D98" s="3">
        <f t="shared" si="3"/>
        <v>891</v>
      </c>
    </row>
    <row r="99" spans="1:6" x14ac:dyDescent="0.25">
      <c r="A99" s="50" t="s">
        <v>44</v>
      </c>
      <c r="B99" s="7">
        <v>48423</v>
      </c>
      <c r="C99" s="7">
        <v>49334</v>
      </c>
      <c r="D99" s="3">
        <f t="shared" si="3"/>
        <v>911</v>
      </c>
      <c r="E99" s="7">
        <v>48442</v>
      </c>
      <c r="F99" t="s">
        <v>3</v>
      </c>
    </row>
    <row r="100" spans="1:6" x14ac:dyDescent="0.25">
      <c r="A100" s="50" t="s">
        <v>25</v>
      </c>
      <c r="B100" s="7">
        <v>48772</v>
      </c>
      <c r="C100" s="7">
        <v>49683</v>
      </c>
      <c r="D100" s="3">
        <f t="shared" si="3"/>
        <v>911</v>
      </c>
    </row>
    <row r="101" spans="1:6" x14ac:dyDescent="0.25">
      <c r="A101" s="50" t="s">
        <v>26</v>
      </c>
      <c r="B101" s="7">
        <v>49304</v>
      </c>
      <c r="C101" s="7">
        <v>50244</v>
      </c>
      <c r="D101" s="3">
        <f t="shared" si="3"/>
        <v>940</v>
      </c>
    </row>
    <row r="102" spans="1:6" x14ac:dyDescent="0.25">
      <c r="B102" s="7"/>
      <c r="C102" s="7"/>
    </row>
    <row r="103" spans="1:6" x14ac:dyDescent="0.25">
      <c r="B103" s="7"/>
      <c r="C103" s="7"/>
    </row>
    <row r="104" spans="1:6" x14ac:dyDescent="0.25">
      <c r="B104" s="7"/>
      <c r="C104" s="7"/>
    </row>
    <row r="105" spans="1:6" x14ac:dyDescent="0.25">
      <c r="A105" t="s">
        <v>387</v>
      </c>
      <c r="B105" s="7"/>
      <c r="C105" s="7"/>
    </row>
    <row r="106" spans="1:6" x14ac:dyDescent="0.25">
      <c r="A106" t="s">
        <v>425</v>
      </c>
      <c r="B106" s="7">
        <v>48776</v>
      </c>
      <c r="C106" s="7">
        <v>63244</v>
      </c>
      <c r="D106" s="3">
        <f t="shared" ref="D106:D110" si="4">IF(C106&lt;&gt;"",IF(B106&lt;&gt;"",C106-B106,"-"), "-")</f>
        <v>14468</v>
      </c>
    </row>
    <row r="107" spans="1:6" x14ac:dyDescent="0.25">
      <c r="A107" t="s">
        <v>426</v>
      </c>
      <c r="B107" s="7">
        <v>48863</v>
      </c>
      <c r="C107" s="7">
        <v>63333</v>
      </c>
      <c r="D107" s="3">
        <f t="shared" si="4"/>
        <v>14470</v>
      </c>
    </row>
    <row r="108" spans="1:6" x14ac:dyDescent="0.25">
      <c r="A108" t="s">
        <v>426</v>
      </c>
      <c r="B108" s="7">
        <v>48913</v>
      </c>
      <c r="C108" s="7">
        <v>63383</v>
      </c>
      <c r="D108" s="3">
        <f t="shared" si="4"/>
        <v>14470</v>
      </c>
    </row>
    <row r="109" spans="1:6" x14ac:dyDescent="0.25">
      <c r="A109" t="s">
        <v>426</v>
      </c>
      <c r="B109" s="7">
        <v>49169</v>
      </c>
      <c r="C109" s="7">
        <v>63638</v>
      </c>
      <c r="D109" s="3">
        <f t="shared" si="4"/>
        <v>14469</v>
      </c>
    </row>
    <row r="110" spans="1:6" x14ac:dyDescent="0.25">
      <c r="A110" t="s">
        <v>371</v>
      </c>
      <c r="B110" s="7">
        <v>49304</v>
      </c>
      <c r="C110" s="7">
        <v>63782</v>
      </c>
      <c r="D110" s="3">
        <f t="shared" si="4"/>
        <v>14478</v>
      </c>
    </row>
    <row r="111" spans="1:6" x14ac:dyDescent="0.25">
      <c r="B111" s="7"/>
      <c r="C111" s="7"/>
    </row>
    <row r="112" spans="1:6" x14ac:dyDescent="0.25">
      <c r="B112" s="7"/>
      <c r="C112" s="7"/>
    </row>
    <row r="113" spans="2:3" x14ac:dyDescent="0.25">
      <c r="B113" s="7"/>
      <c r="C113" s="7"/>
    </row>
    <row r="114" spans="2:3" x14ac:dyDescent="0.25">
      <c r="B114" s="7"/>
      <c r="C114" s="7"/>
    </row>
    <row r="115" spans="2:3" x14ac:dyDescent="0.25">
      <c r="B115" s="7"/>
      <c r="C115" s="7"/>
    </row>
    <row r="116" spans="2:3" x14ac:dyDescent="0.25">
      <c r="B116" s="7"/>
      <c r="C116" s="7"/>
    </row>
    <row r="117" spans="2:3" x14ac:dyDescent="0.25">
      <c r="B117" s="7"/>
      <c r="C117" s="7"/>
    </row>
    <row r="118" spans="2:3" x14ac:dyDescent="0.25">
      <c r="B118" s="7"/>
      <c r="C118" s="7"/>
    </row>
    <row r="119" spans="2:3" x14ac:dyDescent="0.25">
      <c r="B119" s="7"/>
      <c r="C119" s="7"/>
    </row>
    <row r="120" spans="2:3" x14ac:dyDescent="0.25">
      <c r="B120" s="7"/>
      <c r="C120" s="7"/>
    </row>
    <row r="121" spans="2:3" x14ac:dyDescent="0.25">
      <c r="B121" s="7"/>
      <c r="C121" s="7"/>
    </row>
    <row r="122" spans="2:3" x14ac:dyDescent="0.25">
      <c r="B122" s="7"/>
      <c r="C122" s="7"/>
    </row>
    <row r="123" spans="2:3" x14ac:dyDescent="0.25">
      <c r="B123" s="7"/>
      <c r="C123" s="7"/>
    </row>
    <row r="124" spans="2:3" x14ac:dyDescent="0.25">
      <c r="B124" s="7"/>
      <c r="C124" s="7"/>
    </row>
    <row r="125" spans="2:3" x14ac:dyDescent="0.25">
      <c r="B125" s="7"/>
      <c r="C125" s="7"/>
    </row>
    <row r="126" spans="2:3" x14ac:dyDescent="0.25">
      <c r="B126" s="7"/>
      <c r="C126" s="7"/>
    </row>
    <row r="127" spans="2:3" x14ac:dyDescent="0.25">
      <c r="B127" s="7"/>
      <c r="C127" s="7"/>
    </row>
    <row r="128" spans="2:3" x14ac:dyDescent="0.25">
      <c r="B128" s="7"/>
      <c r="C128" s="7"/>
    </row>
    <row r="129" spans="2:3" x14ac:dyDescent="0.25">
      <c r="B129" s="7"/>
      <c r="C129" s="7"/>
    </row>
    <row r="130" spans="2:3" x14ac:dyDescent="0.25">
      <c r="B130" s="7"/>
      <c r="C130" s="7"/>
    </row>
    <row r="131" spans="2:3" x14ac:dyDescent="0.25">
      <c r="B131" s="7"/>
      <c r="C131" s="7"/>
    </row>
    <row r="132" spans="2:3" x14ac:dyDescent="0.25">
      <c r="B132" s="7"/>
      <c r="C132" s="7"/>
    </row>
    <row r="133" spans="2:3" x14ac:dyDescent="0.25">
      <c r="B133" s="7"/>
      <c r="C133" s="7"/>
    </row>
    <row r="134" spans="2:3" x14ac:dyDescent="0.25">
      <c r="B134" s="7"/>
      <c r="C134" s="7"/>
    </row>
    <row r="135" spans="2:3" x14ac:dyDescent="0.25">
      <c r="B135" s="7"/>
      <c r="C135" s="7"/>
    </row>
    <row r="136" spans="2:3" x14ac:dyDescent="0.25">
      <c r="B136" s="7"/>
      <c r="C136" s="7"/>
    </row>
    <row r="137" spans="2:3" x14ac:dyDescent="0.25">
      <c r="B137" s="7"/>
      <c r="C137" s="7"/>
    </row>
    <row r="138" spans="2:3" x14ac:dyDescent="0.25">
      <c r="B138" s="7"/>
      <c r="C138" s="7"/>
    </row>
    <row r="139" spans="2:3" x14ac:dyDescent="0.25">
      <c r="B139" s="7"/>
      <c r="C139" s="7"/>
    </row>
    <row r="140" spans="2:3" x14ac:dyDescent="0.25">
      <c r="B140" s="7"/>
      <c r="C140" s="7"/>
    </row>
    <row r="141" spans="2:3" x14ac:dyDescent="0.25">
      <c r="B141" s="7"/>
      <c r="C141" s="7"/>
    </row>
    <row r="142" spans="2:3" x14ac:dyDescent="0.25">
      <c r="B142" s="7"/>
      <c r="C142" s="7"/>
    </row>
    <row r="143" spans="2:3" x14ac:dyDescent="0.25">
      <c r="B143" s="7"/>
      <c r="C143" s="7"/>
    </row>
    <row r="144" spans="2:3" x14ac:dyDescent="0.25">
      <c r="B144" s="7"/>
      <c r="C144" s="7"/>
    </row>
    <row r="145" spans="2:3" x14ac:dyDescent="0.25">
      <c r="B145" s="7"/>
      <c r="C145" s="7"/>
    </row>
    <row r="146" spans="2:3" x14ac:dyDescent="0.25">
      <c r="B146" s="7"/>
      <c r="C146" s="7"/>
    </row>
    <row r="147" spans="2:3" x14ac:dyDescent="0.25">
      <c r="B147" s="7"/>
      <c r="C147" s="7"/>
    </row>
    <row r="148" spans="2:3" x14ac:dyDescent="0.25">
      <c r="B148" s="7"/>
      <c r="C148" s="7"/>
    </row>
    <row r="149" spans="2:3" x14ac:dyDescent="0.25">
      <c r="B149" s="7"/>
      <c r="C149" s="7"/>
    </row>
    <row r="150" spans="2:3" x14ac:dyDescent="0.25">
      <c r="B150" s="7"/>
      <c r="C150" s="7"/>
    </row>
    <row r="151" spans="2:3" x14ac:dyDescent="0.25">
      <c r="B151" s="7"/>
      <c r="C151" s="7"/>
    </row>
    <row r="152" spans="2:3" x14ac:dyDescent="0.25">
      <c r="B152" s="7"/>
      <c r="C152" s="7"/>
    </row>
    <row r="153" spans="2:3" x14ac:dyDescent="0.25">
      <c r="B153" s="7"/>
      <c r="C153" s="7"/>
    </row>
    <row r="154" spans="2:3" x14ac:dyDescent="0.25">
      <c r="B154" s="7"/>
      <c r="C154" s="7"/>
    </row>
    <row r="155" spans="2:3" x14ac:dyDescent="0.25">
      <c r="B155" s="7"/>
      <c r="C155" s="7"/>
    </row>
    <row r="156" spans="2:3" x14ac:dyDescent="0.25">
      <c r="B156" s="7"/>
      <c r="C156" s="7"/>
    </row>
    <row r="157" spans="2:3" x14ac:dyDescent="0.25">
      <c r="B157" s="7"/>
      <c r="C157" s="7"/>
    </row>
    <row r="158" spans="2:3" x14ac:dyDescent="0.25">
      <c r="B158" s="7"/>
      <c r="C158" s="7"/>
    </row>
    <row r="159" spans="2:3" x14ac:dyDescent="0.25">
      <c r="B159" s="7"/>
      <c r="C159" s="7"/>
    </row>
    <row r="160" spans="2:3" x14ac:dyDescent="0.25">
      <c r="B160" s="7"/>
      <c r="C160" s="7"/>
    </row>
    <row r="161" spans="2:3" x14ac:dyDescent="0.25">
      <c r="B161" s="7"/>
      <c r="C161" s="7"/>
    </row>
    <row r="162" spans="2:3" x14ac:dyDescent="0.25">
      <c r="B162" s="7"/>
      <c r="C162" s="7"/>
    </row>
    <row r="163" spans="2:3" x14ac:dyDescent="0.25">
      <c r="B163" s="7"/>
      <c r="C163" s="7"/>
    </row>
    <row r="164" spans="2:3" x14ac:dyDescent="0.25">
      <c r="B164" s="7"/>
      <c r="C164" s="7"/>
    </row>
    <row r="165" spans="2:3" x14ac:dyDescent="0.25">
      <c r="B165" s="7"/>
      <c r="C165" s="7"/>
    </row>
    <row r="166" spans="2:3" x14ac:dyDescent="0.25">
      <c r="B166" s="7"/>
      <c r="C166" s="7"/>
    </row>
    <row r="167" spans="2:3" x14ac:dyDescent="0.25">
      <c r="B167" s="7"/>
      <c r="C167" s="7"/>
    </row>
    <row r="168" spans="2:3" x14ac:dyDescent="0.25">
      <c r="B168" s="7"/>
      <c r="C168" s="7"/>
    </row>
    <row r="169" spans="2:3" x14ac:dyDescent="0.25">
      <c r="B169" s="7"/>
      <c r="C169" s="7"/>
    </row>
    <row r="170" spans="2:3" x14ac:dyDescent="0.25">
      <c r="B170" s="7"/>
      <c r="C170" s="7"/>
    </row>
    <row r="171" spans="2:3" x14ac:dyDescent="0.25">
      <c r="B171" s="7"/>
      <c r="C171" s="7"/>
    </row>
    <row r="172" spans="2:3" x14ac:dyDescent="0.25">
      <c r="B172" s="7"/>
      <c r="C172" s="7"/>
    </row>
    <row r="173" spans="2:3" x14ac:dyDescent="0.25">
      <c r="B173" s="7"/>
      <c r="C173" s="7"/>
    </row>
    <row r="174" spans="2:3" x14ac:dyDescent="0.25">
      <c r="B174" s="7"/>
      <c r="C174" s="7"/>
    </row>
    <row r="175" spans="2:3" x14ac:dyDescent="0.25">
      <c r="B175" s="7"/>
      <c r="C175" s="7"/>
    </row>
    <row r="176" spans="2:3" x14ac:dyDescent="0.25">
      <c r="B176" s="7"/>
      <c r="C176" s="7"/>
    </row>
    <row r="177" spans="2:3" x14ac:dyDescent="0.25">
      <c r="B177" s="7"/>
      <c r="C177" s="7"/>
    </row>
    <row r="178" spans="2:3" x14ac:dyDescent="0.25">
      <c r="B178" s="7"/>
      <c r="C178" s="7"/>
    </row>
    <row r="179" spans="2:3" x14ac:dyDescent="0.25">
      <c r="B179" s="7"/>
      <c r="C179" s="7"/>
    </row>
    <row r="180" spans="2:3" x14ac:dyDescent="0.25">
      <c r="B180" s="7"/>
      <c r="C180" s="7"/>
    </row>
    <row r="181" spans="2:3" x14ac:dyDescent="0.25">
      <c r="B181" s="7"/>
      <c r="C181" s="7"/>
    </row>
    <row r="182" spans="2:3" x14ac:dyDescent="0.25">
      <c r="B182" s="7"/>
      <c r="C182" s="7"/>
    </row>
    <row r="183" spans="2:3" x14ac:dyDescent="0.25">
      <c r="B183" s="7"/>
      <c r="C183" s="7"/>
    </row>
    <row r="184" spans="2:3" x14ac:dyDescent="0.25">
      <c r="B184" s="7"/>
      <c r="C184" s="7"/>
    </row>
    <row r="185" spans="2:3" x14ac:dyDescent="0.25">
      <c r="B185" s="7"/>
      <c r="C185" s="7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48F502-AA0A-4BF9-ABA2-AA87E3F2B5E4}">
  <dimension ref="A1:E388"/>
  <sheetViews>
    <sheetView workbookViewId="0">
      <pane ySplit="1" topLeftCell="A298" activePane="bottomLeft" state="frozen"/>
      <selection pane="bottomLeft" activeCell="A305" sqref="A305:D309"/>
    </sheetView>
  </sheetViews>
  <sheetFormatPr defaultRowHeight="14.25" x14ac:dyDescent="0.2"/>
  <cols>
    <col min="1" max="1" width="15.125" customWidth="1"/>
    <col min="2" max="3" width="8.75" customWidth="1"/>
    <col min="4" max="4" width="6.625" customWidth="1"/>
    <col min="5" max="5" width="17.625" bestFit="1" customWidth="1"/>
  </cols>
  <sheetData>
    <row r="1" spans="1:5" ht="15" x14ac:dyDescent="0.25">
      <c r="A1" s="1" t="s">
        <v>0</v>
      </c>
      <c r="B1" s="1" t="s">
        <v>236</v>
      </c>
      <c r="C1" s="1" t="s">
        <v>155</v>
      </c>
      <c r="D1" s="1" t="s">
        <v>2</v>
      </c>
    </row>
    <row r="2" spans="1:5" ht="15" x14ac:dyDescent="0.25">
      <c r="A2" s="36" t="s">
        <v>237</v>
      </c>
      <c r="B2" s="2">
        <v>425</v>
      </c>
      <c r="C2" s="2">
        <v>426</v>
      </c>
      <c r="D2" s="3">
        <f t="shared" ref="D2:D44" si="0">IF(C2&lt;&gt;"",IF(B2&lt;&gt;"",C2-B2,"-"), "-")</f>
        <v>1</v>
      </c>
    </row>
    <row r="3" spans="1:5" ht="15" x14ac:dyDescent="0.25">
      <c r="A3" s="36" t="s">
        <v>238</v>
      </c>
      <c r="B3" s="2">
        <v>529</v>
      </c>
      <c r="C3" s="2">
        <v>736</v>
      </c>
      <c r="D3" s="3">
        <f t="shared" ref="D3:D7" si="1">IF(C3&lt;&gt;"",IF(B3&lt;&gt;"",C3-B3,"-"), "-")</f>
        <v>207</v>
      </c>
    </row>
    <row r="4" spans="1:5" ht="15" x14ac:dyDescent="0.25">
      <c r="A4" s="36" t="s">
        <v>239</v>
      </c>
      <c r="B4" s="2">
        <v>600</v>
      </c>
      <c r="C4" s="2">
        <v>808</v>
      </c>
      <c r="D4" s="3">
        <f t="shared" si="1"/>
        <v>208</v>
      </c>
    </row>
    <row r="5" spans="1:5" ht="15" x14ac:dyDescent="0.25">
      <c r="A5" s="36" t="s">
        <v>240</v>
      </c>
      <c r="B5" s="2">
        <v>628</v>
      </c>
      <c r="C5" s="2">
        <v>840</v>
      </c>
      <c r="D5" s="3">
        <f t="shared" si="1"/>
        <v>212</v>
      </c>
    </row>
    <row r="6" spans="1:5" ht="15" x14ac:dyDescent="0.25">
      <c r="A6" s="36" t="s">
        <v>241</v>
      </c>
      <c r="B6" s="2">
        <v>663</v>
      </c>
      <c r="C6" s="2">
        <v>872</v>
      </c>
      <c r="D6" s="3">
        <f t="shared" si="1"/>
        <v>209</v>
      </c>
    </row>
    <row r="7" spans="1:5" ht="15" x14ac:dyDescent="0.25">
      <c r="A7" s="36"/>
      <c r="B7" s="2">
        <v>812</v>
      </c>
      <c r="C7" s="2">
        <v>999</v>
      </c>
      <c r="D7" s="3">
        <f t="shared" si="1"/>
        <v>187</v>
      </c>
    </row>
    <row r="8" spans="1:5" ht="15" x14ac:dyDescent="0.25">
      <c r="A8" s="36" t="s">
        <v>242</v>
      </c>
      <c r="B8" s="7">
        <v>754</v>
      </c>
      <c r="C8" s="7">
        <v>1049</v>
      </c>
      <c r="D8" s="3">
        <f t="shared" si="0"/>
        <v>295</v>
      </c>
    </row>
    <row r="9" spans="1:5" ht="15" x14ac:dyDescent="0.25">
      <c r="A9" s="37" t="s">
        <v>243</v>
      </c>
      <c r="B9" s="7">
        <v>1109</v>
      </c>
      <c r="C9" s="7">
        <v>1704</v>
      </c>
      <c r="D9" s="3">
        <f t="shared" si="0"/>
        <v>595</v>
      </c>
      <c r="E9" t="s">
        <v>244</v>
      </c>
    </row>
    <row r="10" spans="1:5" ht="15" x14ac:dyDescent="0.25">
      <c r="A10" s="37" t="s">
        <v>245</v>
      </c>
      <c r="B10" s="7">
        <v>1241</v>
      </c>
      <c r="C10" s="7">
        <v>1830</v>
      </c>
      <c r="D10" s="3">
        <f t="shared" si="0"/>
        <v>589</v>
      </c>
    </row>
    <row r="11" spans="1:5" ht="15" x14ac:dyDescent="0.25">
      <c r="A11" s="33" t="s">
        <v>173</v>
      </c>
      <c r="B11" s="7">
        <v>1601</v>
      </c>
      <c r="C11" s="7">
        <v>2182</v>
      </c>
      <c r="D11" s="3">
        <f t="shared" si="0"/>
        <v>581</v>
      </c>
    </row>
    <row r="12" spans="1:5" ht="15" x14ac:dyDescent="0.25">
      <c r="A12" s="37" t="s">
        <v>246</v>
      </c>
      <c r="B12" s="7">
        <v>1952</v>
      </c>
      <c r="C12" s="7">
        <v>2837</v>
      </c>
      <c r="D12" s="3">
        <f t="shared" si="0"/>
        <v>885</v>
      </c>
    </row>
    <row r="13" spans="1:5" ht="15" x14ac:dyDescent="0.25">
      <c r="A13" s="37" t="s">
        <v>247</v>
      </c>
      <c r="B13" s="7">
        <v>2059</v>
      </c>
      <c r="C13" s="37">
        <v>2943</v>
      </c>
      <c r="D13" s="3">
        <f t="shared" si="0"/>
        <v>884</v>
      </c>
    </row>
    <row r="14" spans="1:5" ht="15" x14ac:dyDescent="0.25">
      <c r="A14" s="37" t="s">
        <v>127</v>
      </c>
      <c r="B14" s="7">
        <v>2144</v>
      </c>
      <c r="C14" s="7">
        <v>3028</v>
      </c>
      <c r="D14" s="3">
        <f t="shared" si="0"/>
        <v>884</v>
      </c>
    </row>
    <row r="15" spans="1:5" ht="15" x14ac:dyDescent="0.25">
      <c r="A15" s="37" t="s">
        <v>249</v>
      </c>
      <c r="B15" s="7">
        <v>2192</v>
      </c>
      <c r="C15" s="7">
        <v>3076</v>
      </c>
      <c r="D15" s="3">
        <f t="shared" si="0"/>
        <v>884</v>
      </c>
    </row>
    <row r="16" spans="1:5" ht="15" x14ac:dyDescent="0.25">
      <c r="A16" s="37" t="s">
        <v>248</v>
      </c>
      <c r="B16" s="7">
        <v>2244</v>
      </c>
      <c r="C16" s="7">
        <v>3124</v>
      </c>
      <c r="D16" s="3">
        <f t="shared" si="0"/>
        <v>880</v>
      </c>
    </row>
    <row r="17" spans="1:5" ht="15" x14ac:dyDescent="0.25">
      <c r="A17" s="37" t="s">
        <v>250</v>
      </c>
      <c r="B17" s="7">
        <v>2265</v>
      </c>
      <c r="C17" s="7">
        <v>3146</v>
      </c>
      <c r="D17" s="3">
        <f t="shared" si="0"/>
        <v>881</v>
      </c>
    </row>
    <row r="18" spans="1:5" ht="15" x14ac:dyDescent="0.25">
      <c r="A18" s="37" t="s">
        <v>251</v>
      </c>
      <c r="B18" s="7">
        <v>2370</v>
      </c>
      <c r="C18" s="7">
        <v>3248</v>
      </c>
      <c r="D18" s="3">
        <f t="shared" si="0"/>
        <v>878</v>
      </c>
    </row>
    <row r="19" spans="1:5" ht="15" x14ac:dyDescent="0.25">
      <c r="A19" s="37" t="s">
        <v>252</v>
      </c>
      <c r="B19" s="7">
        <v>2720</v>
      </c>
      <c r="C19" s="7">
        <v>3902</v>
      </c>
      <c r="D19" s="3">
        <f t="shared" si="0"/>
        <v>1182</v>
      </c>
    </row>
    <row r="20" spans="1:5" ht="15" x14ac:dyDescent="0.25">
      <c r="A20" s="37" t="s">
        <v>127</v>
      </c>
      <c r="B20" s="7">
        <v>2812</v>
      </c>
      <c r="C20" s="7">
        <v>3994</v>
      </c>
      <c r="D20" s="3">
        <f t="shared" si="0"/>
        <v>1182</v>
      </c>
    </row>
    <row r="21" spans="1:5" ht="15" x14ac:dyDescent="0.25">
      <c r="A21" s="37" t="s">
        <v>253</v>
      </c>
      <c r="B21" s="7">
        <v>3195</v>
      </c>
      <c r="C21" s="7">
        <v>4382</v>
      </c>
      <c r="D21" s="3">
        <f t="shared" si="0"/>
        <v>1187</v>
      </c>
    </row>
    <row r="22" spans="1:5" ht="15" x14ac:dyDescent="0.25">
      <c r="A22" s="37" t="s">
        <v>254</v>
      </c>
      <c r="B22" s="7">
        <v>3566</v>
      </c>
      <c r="C22" s="7">
        <v>5071</v>
      </c>
      <c r="D22" s="3">
        <f t="shared" si="0"/>
        <v>1505</v>
      </c>
    </row>
    <row r="23" spans="1:5" ht="15" x14ac:dyDescent="0.25">
      <c r="A23" s="37" t="s">
        <v>255</v>
      </c>
      <c r="B23" s="7">
        <v>3829</v>
      </c>
      <c r="C23" s="7">
        <v>5328</v>
      </c>
      <c r="D23" s="3">
        <f t="shared" si="0"/>
        <v>1499</v>
      </c>
    </row>
    <row r="24" spans="1:5" ht="15" x14ac:dyDescent="0.25">
      <c r="A24" s="37" t="s">
        <v>256</v>
      </c>
      <c r="B24" s="7">
        <v>4183</v>
      </c>
      <c r="C24" s="7">
        <v>5985</v>
      </c>
      <c r="D24" s="3">
        <f t="shared" si="0"/>
        <v>1802</v>
      </c>
    </row>
    <row r="25" spans="1:5" ht="15" x14ac:dyDescent="0.25">
      <c r="A25" s="37" t="s">
        <v>257</v>
      </c>
      <c r="B25" s="7">
        <v>5182</v>
      </c>
      <c r="C25" s="7">
        <v>6992</v>
      </c>
      <c r="D25" s="3">
        <f t="shared" si="0"/>
        <v>1810</v>
      </c>
    </row>
    <row r="26" spans="1:5" ht="15" x14ac:dyDescent="0.25">
      <c r="A26" s="37" t="s">
        <v>258</v>
      </c>
      <c r="B26" s="7">
        <v>5541</v>
      </c>
      <c r="C26" s="7">
        <v>7647</v>
      </c>
      <c r="D26" s="3">
        <f t="shared" si="0"/>
        <v>2106</v>
      </c>
    </row>
    <row r="27" spans="1:5" ht="15.75" customHeight="1" x14ac:dyDescent="0.25">
      <c r="A27" s="37" t="s">
        <v>127</v>
      </c>
      <c r="B27" s="7">
        <v>5561</v>
      </c>
      <c r="C27" s="7">
        <v>7667</v>
      </c>
      <c r="D27" s="3">
        <f t="shared" si="0"/>
        <v>2106</v>
      </c>
    </row>
    <row r="28" spans="1:5" ht="15.75" customHeight="1" x14ac:dyDescent="0.25">
      <c r="A28" s="37" t="s">
        <v>261</v>
      </c>
      <c r="B28" s="7">
        <v>5663</v>
      </c>
      <c r="C28" s="7">
        <v>7771</v>
      </c>
      <c r="D28" s="3">
        <f t="shared" si="0"/>
        <v>2108</v>
      </c>
    </row>
    <row r="29" spans="1:5" ht="15.75" customHeight="1" x14ac:dyDescent="0.25">
      <c r="A29" s="37" t="s">
        <v>260</v>
      </c>
      <c r="B29" s="7">
        <v>5721</v>
      </c>
      <c r="C29" s="7">
        <v>7829</v>
      </c>
      <c r="D29" s="3">
        <f t="shared" si="0"/>
        <v>2108</v>
      </c>
    </row>
    <row r="30" spans="1:5" ht="15.75" customHeight="1" x14ac:dyDescent="0.25">
      <c r="A30" s="37" t="s">
        <v>262</v>
      </c>
      <c r="B30" s="7">
        <v>5757</v>
      </c>
      <c r="C30" s="7">
        <v>7863</v>
      </c>
      <c r="D30" s="3">
        <f t="shared" si="0"/>
        <v>2106</v>
      </c>
      <c r="E30" t="s">
        <v>263</v>
      </c>
    </row>
    <row r="31" spans="1:5" ht="15" x14ac:dyDescent="0.25">
      <c r="A31" s="37" t="s">
        <v>259</v>
      </c>
      <c r="B31" s="7">
        <v>6002</v>
      </c>
      <c r="C31" s="7">
        <v>8106</v>
      </c>
      <c r="D31" s="3">
        <f t="shared" si="0"/>
        <v>2104</v>
      </c>
    </row>
    <row r="32" spans="1:5" ht="15" x14ac:dyDescent="0.25">
      <c r="A32" s="37" t="s">
        <v>264</v>
      </c>
      <c r="B32" s="7">
        <v>6361</v>
      </c>
      <c r="C32" s="7">
        <v>8766</v>
      </c>
      <c r="D32" s="3">
        <f t="shared" si="0"/>
        <v>2405</v>
      </c>
    </row>
    <row r="33" spans="1:5" ht="15" x14ac:dyDescent="0.25">
      <c r="A33" s="37" t="s">
        <v>261</v>
      </c>
      <c r="B33" s="7">
        <v>6434</v>
      </c>
      <c r="C33" s="7">
        <v>8839</v>
      </c>
      <c r="D33" s="3">
        <f t="shared" si="0"/>
        <v>2405</v>
      </c>
    </row>
    <row r="34" spans="1:5" ht="15" x14ac:dyDescent="0.25">
      <c r="A34" s="37" t="s">
        <v>265</v>
      </c>
      <c r="B34" s="7">
        <v>6552</v>
      </c>
      <c r="C34" s="7">
        <v>8951</v>
      </c>
      <c r="D34" s="3">
        <f t="shared" si="0"/>
        <v>2399</v>
      </c>
    </row>
    <row r="35" spans="1:5" ht="15" x14ac:dyDescent="0.25">
      <c r="A35" s="37" t="s">
        <v>266</v>
      </c>
      <c r="B35" s="33">
        <v>6579</v>
      </c>
      <c r="C35" s="33">
        <v>8978</v>
      </c>
      <c r="D35" s="3">
        <f t="shared" si="0"/>
        <v>2399</v>
      </c>
    </row>
    <row r="36" spans="1:5" ht="15" x14ac:dyDescent="0.25">
      <c r="A36" s="37" t="s">
        <v>267</v>
      </c>
      <c r="B36" s="7">
        <v>6759</v>
      </c>
      <c r="C36" s="7">
        <v>9159</v>
      </c>
      <c r="D36" s="3">
        <f t="shared" si="0"/>
        <v>2400</v>
      </c>
    </row>
    <row r="37" spans="1:5" ht="15" x14ac:dyDescent="0.25">
      <c r="A37" s="37" t="s">
        <v>268</v>
      </c>
      <c r="B37" s="7">
        <v>7126</v>
      </c>
      <c r="C37" s="7">
        <v>9831</v>
      </c>
      <c r="D37" s="3">
        <f t="shared" si="0"/>
        <v>2705</v>
      </c>
    </row>
    <row r="38" spans="1:5" ht="15" x14ac:dyDescent="0.25">
      <c r="A38" s="37" t="s">
        <v>269</v>
      </c>
      <c r="B38" s="7">
        <v>7531</v>
      </c>
      <c r="C38" s="37">
        <v>10236</v>
      </c>
      <c r="D38" s="3">
        <f t="shared" si="0"/>
        <v>2705</v>
      </c>
    </row>
    <row r="39" spans="1:5" ht="15" x14ac:dyDescent="0.25">
      <c r="A39" s="37" t="s">
        <v>270</v>
      </c>
      <c r="B39" s="7">
        <v>7843</v>
      </c>
      <c r="C39" s="7">
        <v>10550</v>
      </c>
      <c r="D39" s="3">
        <f t="shared" si="0"/>
        <v>2707</v>
      </c>
    </row>
    <row r="40" spans="1:5" ht="15" x14ac:dyDescent="0.25">
      <c r="A40" s="37" t="s">
        <v>272</v>
      </c>
      <c r="B40" s="7">
        <v>7921</v>
      </c>
      <c r="C40" s="7">
        <v>10626</v>
      </c>
      <c r="D40" s="3">
        <f t="shared" si="0"/>
        <v>2705</v>
      </c>
    </row>
    <row r="41" spans="1:5" ht="15" x14ac:dyDescent="0.25">
      <c r="A41" s="37" t="s">
        <v>273</v>
      </c>
      <c r="B41" s="7">
        <v>8065</v>
      </c>
      <c r="C41" s="7">
        <v>10769</v>
      </c>
      <c r="D41" s="3">
        <f t="shared" si="0"/>
        <v>2704</v>
      </c>
    </row>
    <row r="42" spans="1:5" ht="15" x14ac:dyDescent="0.25">
      <c r="A42" s="37" t="s">
        <v>271</v>
      </c>
      <c r="B42" s="7">
        <v>8097</v>
      </c>
      <c r="C42" s="7">
        <v>10801</v>
      </c>
      <c r="D42" s="3">
        <f t="shared" si="0"/>
        <v>2704</v>
      </c>
    </row>
    <row r="43" spans="1:5" ht="15" x14ac:dyDescent="0.25">
      <c r="A43" s="37" t="s">
        <v>274</v>
      </c>
      <c r="B43" s="7">
        <v>8191</v>
      </c>
      <c r="C43" s="7">
        <v>10896</v>
      </c>
      <c r="D43" s="3">
        <f t="shared" si="0"/>
        <v>2705</v>
      </c>
      <c r="E43" s="7"/>
    </row>
    <row r="44" spans="1:5" ht="15" x14ac:dyDescent="0.25">
      <c r="A44" s="37" t="s">
        <v>275</v>
      </c>
      <c r="B44" s="7">
        <v>8555</v>
      </c>
      <c r="C44" s="7">
        <v>11545</v>
      </c>
      <c r="D44" s="3">
        <f t="shared" si="0"/>
        <v>2990</v>
      </c>
      <c r="E44" s="7"/>
    </row>
    <row r="45" spans="1:5" ht="15" x14ac:dyDescent="0.25">
      <c r="A45" s="37" t="s">
        <v>276</v>
      </c>
      <c r="B45" s="7">
        <v>9117</v>
      </c>
      <c r="C45" s="7">
        <v>12106</v>
      </c>
      <c r="D45" s="3">
        <f t="shared" ref="D45:D84" si="2">IF(C45&lt;&gt;"",IF(B45&lt;&gt;"",C45-B45,"-"), "-")</f>
        <v>2989</v>
      </c>
    </row>
    <row r="46" spans="1:5" ht="15" x14ac:dyDescent="0.25">
      <c r="A46" s="37" t="s">
        <v>277</v>
      </c>
      <c r="B46" s="7">
        <v>9469</v>
      </c>
      <c r="C46" s="7">
        <v>12775</v>
      </c>
      <c r="D46" s="3">
        <f t="shared" si="2"/>
        <v>3306</v>
      </c>
    </row>
    <row r="47" spans="1:5" ht="15" x14ac:dyDescent="0.25">
      <c r="A47" s="37" t="s">
        <v>279</v>
      </c>
      <c r="B47" s="7">
        <v>9711</v>
      </c>
      <c r="C47" s="7">
        <v>13012</v>
      </c>
      <c r="D47" s="3">
        <f t="shared" si="2"/>
        <v>3301</v>
      </c>
    </row>
    <row r="48" spans="1:5" ht="15" x14ac:dyDescent="0.25">
      <c r="A48" s="37" t="s">
        <v>278</v>
      </c>
      <c r="B48" s="7">
        <v>9777</v>
      </c>
      <c r="C48" s="7">
        <v>13069</v>
      </c>
      <c r="D48" s="3">
        <f t="shared" si="2"/>
        <v>3292</v>
      </c>
    </row>
    <row r="49" spans="1:4" ht="15" x14ac:dyDescent="0.25">
      <c r="A49" s="37" t="s">
        <v>280</v>
      </c>
      <c r="B49" s="7">
        <v>10127</v>
      </c>
      <c r="C49" s="7">
        <v>13738</v>
      </c>
      <c r="D49" s="3">
        <f t="shared" si="2"/>
        <v>3611</v>
      </c>
    </row>
    <row r="50" spans="1:4" ht="15" x14ac:dyDescent="0.25">
      <c r="A50" s="38" t="s">
        <v>281</v>
      </c>
      <c r="B50" s="8">
        <v>10810</v>
      </c>
      <c r="C50" s="8">
        <v>14421</v>
      </c>
      <c r="D50" s="3">
        <f t="shared" si="2"/>
        <v>3611</v>
      </c>
    </row>
    <row r="51" spans="1:4" ht="15" x14ac:dyDescent="0.25">
      <c r="A51" s="38" t="s">
        <v>282</v>
      </c>
      <c r="B51" s="33">
        <v>11165</v>
      </c>
      <c r="C51" s="33">
        <v>15078</v>
      </c>
      <c r="D51" s="3">
        <f t="shared" si="2"/>
        <v>3913</v>
      </c>
    </row>
    <row r="52" spans="1:4" ht="15" x14ac:dyDescent="0.25">
      <c r="A52" s="38" t="s">
        <v>283</v>
      </c>
      <c r="B52" s="7">
        <v>11729</v>
      </c>
      <c r="C52" s="7">
        <v>15652</v>
      </c>
      <c r="D52" s="3">
        <f t="shared" si="2"/>
        <v>3923</v>
      </c>
    </row>
    <row r="53" spans="1:4" ht="15" x14ac:dyDescent="0.25">
      <c r="A53" s="38" t="s">
        <v>284</v>
      </c>
      <c r="B53" s="7">
        <v>12383</v>
      </c>
      <c r="C53" s="7">
        <v>16307</v>
      </c>
      <c r="D53" s="3">
        <f t="shared" si="2"/>
        <v>3924</v>
      </c>
    </row>
    <row r="54" spans="1:4" ht="15" x14ac:dyDescent="0.25">
      <c r="A54" s="39" t="s">
        <v>285</v>
      </c>
      <c r="B54" s="7">
        <v>12889</v>
      </c>
      <c r="C54" s="7">
        <v>16822</v>
      </c>
      <c r="D54" s="3">
        <f t="shared" si="2"/>
        <v>3933</v>
      </c>
    </row>
    <row r="55" spans="1:4" ht="15" x14ac:dyDescent="0.25">
      <c r="A55" s="39" t="s">
        <v>286</v>
      </c>
      <c r="B55" s="7">
        <v>13239</v>
      </c>
      <c r="C55" s="7">
        <v>17480</v>
      </c>
      <c r="D55" s="3">
        <f t="shared" si="2"/>
        <v>4241</v>
      </c>
    </row>
    <row r="56" spans="1:4" ht="15" x14ac:dyDescent="0.25">
      <c r="A56" s="39" t="s">
        <v>287</v>
      </c>
      <c r="B56" s="7">
        <v>13254</v>
      </c>
      <c r="C56" s="7">
        <v>17494</v>
      </c>
      <c r="D56" s="3">
        <f t="shared" si="2"/>
        <v>4240</v>
      </c>
    </row>
    <row r="57" spans="1:4" ht="15" x14ac:dyDescent="0.25">
      <c r="A57" s="39" t="s">
        <v>289</v>
      </c>
      <c r="B57" s="7">
        <v>13480</v>
      </c>
      <c r="C57" s="7">
        <v>17723</v>
      </c>
      <c r="D57" s="3">
        <f t="shared" si="2"/>
        <v>4243</v>
      </c>
    </row>
    <row r="58" spans="1:4" ht="15" x14ac:dyDescent="0.25">
      <c r="A58" s="39" t="s">
        <v>290</v>
      </c>
      <c r="B58" s="7"/>
      <c r="C58" s="7">
        <v>17893</v>
      </c>
      <c r="D58" s="3" t="str">
        <f t="shared" si="2"/>
        <v>-</v>
      </c>
    </row>
    <row r="59" spans="1:4" ht="15" x14ac:dyDescent="0.25">
      <c r="A59" s="39" t="s">
        <v>291</v>
      </c>
      <c r="B59" s="7">
        <v>13801</v>
      </c>
      <c r="C59" s="7">
        <v>18042</v>
      </c>
      <c r="D59" s="3">
        <f t="shared" si="2"/>
        <v>4241</v>
      </c>
    </row>
    <row r="60" spans="1:4" ht="15" x14ac:dyDescent="0.25">
      <c r="A60" s="39" t="s">
        <v>288</v>
      </c>
      <c r="B60" s="7">
        <v>13960</v>
      </c>
      <c r="C60" s="7">
        <v>18210</v>
      </c>
      <c r="D60" s="3">
        <f t="shared" ref="D60" si="3">IF(C60&lt;&gt;"",IF(B60&lt;&gt;"",C60-B60,"-"), "-")</f>
        <v>4250</v>
      </c>
    </row>
    <row r="61" spans="1:4" ht="15" x14ac:dyDescent="0.25">
      <c r="A61" s="39" t="s">
        <v>292</v>
      </c>
      <c r="B61" s="7">
        <v>14356</v>
      </c>
      <c r="C61" s="7">
        <v>18890</v>
      </c>
      <c r="D61" s="3">
        <f t="shared" si="2"/>
        <v>4534</v>
      </c>
    </row>
    <row r="62" spans="1:4" ht="15" x14ac:dyDescent="0.25">
      <c r="A62" s="39" t="s">
        <v>293</v>
      </c>
      <c r="B62" s="7">
        <v>14494</v>
      </c>
      <c r="C62" s="7">
        <v>19029</v>
      </c>
      <c r="D62" s="3">
        <f t="shared" si="2"/>
        <v>4535</v>
      </c>
    </row>
    <row r="63" spans="1:4" ht="15" x14ac:dyDescent="0.25">
      <c r="A63" s="39" t="s">
        <v>296</v>
      </c>
      <c r="B63" s="7">
        <v>14532</v>
      </c>
      <c r="C63" s="7"/>
      <c r="D63" s="3"/>
    </row>
    <row r="64" spans="1:4" ht="15" x14ac:dyDescent="0.25">
      <c r="A64" s="39" t="s">
        <v>150</v>
      </c>
      <c r="B64" s="7">
        <v>14572</v>
      </c>
      <c r="C64" s="7">
        <v>19107</v>
      </c>
      <c r="D64" s="3">
        <f t="shared" si="2"/>
        <v>4535</v>
      </c>
    </row>
    <row r="65" spans="1:4" ht="15" x14ac:dyDescent="0.25">
      <c r="A65" s="39" t="s">
        <v>250</v>
      </c>
      <c r="B65" s="7">
        <v>14614</v>
      </c>
      <c r="C65" s="7">
        <v>19149</v>
      </c>
      <c r="D65" s="3">
        <f t="shared" si="2"/>
        <v>4535</v>
      </c>
    </row>
    <row r="66" spans="1:4" ht="15" x14ac:dyDescent="0.25">
      <c r="A66" s="39" t="s">
        <v>294</v>
      </c>
      <c r="B66" s="7">
        <v>14669</v>
      </c>
      <c r="C66" s="7">
        <v>19214</v>
      </c>
      <c r="D66" s="3">
        <f t="shared" si="2"/>
        <v>4545</v>
      </c>
    </row>
    <row r="67" spans="1:4" ht="15" x14ac:dyDescent="0.25">
      <c r="A67" s="39" t="s">
        <v>295</v>
      </c>
      <c r="B67" s="7">
        <v>15031</v>
      </c>
      <c r="C67" s="7">
        <v>19868</v>
      </c>
      <c r="D67" s="3">
        <f t="shared" si="2"/>
        <v>4837</v>
      </c>
    </row>
    <row r="68" spans="1:4" ht="15" x14ac:dyDescent="0.25">
      <c r="A68" s="40" t="s">
        <v>265</v>
      </c>
      <c r="B68" s="7">
        <v>15051</v>
      </c>
      <c r="C68" s="7">
        <v>19888</v>
      </c>
      <c r="D68" s="3">
        <f t="shared" si="2"/>
        <v>4837</v>
      </c>
    </row>
    <row r="69" spans="1:4" ht="15" x14ac:dyDescent="0.25">
      <c r="A69" s="40" t="s">
        <v>279</v>
      </c>
      <c r="B69" s="7">
        <v>15196</v>
      </c>
      <c r="C69" s="7">
        <v>20031</v>
      </c>
      <c r="D69" s="3">
        <f t="shared" si="2"/>
        <v>4835</v>
      </c>
    </row>
    <row r="70" spans="1:4" ht="15" x14ac:dyDescent="0.25">
      <c r="A70" s="40" t="s">
        <v>265</v>
      </c>
      <c r="B70" s="7">
        <v>15467</v>
      </c>
      <c r="C70" s="7">
        <v>20304</v>
      </c>
      <c r="D70" s="3">
        <f t="shared" si="2"/>
        <v>4837</v>
      </c>
    </row>
    <row r="71" spans="1:4" ht="15" x14ac:dyDescent="0.25">
      <c r="A71" s="40" t="s">
        <v>298</v>
      </c>
      <c r="B71" s="7">
        <v>15503</v>
      </c>
      <c r="C71" s="7">
        <v>20337</v>
      </c>
      <c r="D71" s="3">
        <f t="shared" si="2"/>
        <v>4834</v>
      </c>
    </row>
    <row r="72" spans="1:4" ht="15" x14ac:dyDescent="0.25">
      <c r="A72" s="40" t="s">
        <v>297</v>
      </c>
      <c r="B72" s="7">
        <v>15844</v>
      </c>
      <c r="C72" s="7">
        <v>20766</v>
      </c>
      <c r="D72" s="3">
        <f t="shared" si="2"/>
        <v>4922</v>
      </c>
    </row>
    <row r="73" spans="1:4" ht="15" x14ac:dyDescent="0.25">
      <c r="A73" s="40" t="s">
        <v>299</v>
      </c>
      <c r="B73" s="7">
        <v>16202</v>
      </c>
      <c r="C73" s="7">
        <v>21388</v>
      </c>
      <c r="D73" s="3">
        <f t="shared" si="2"/>
        <v>5186</v>
      </c>
    </row>
    <row r="74" spans="1:4" ht="15" x14ac:dyDescent="0.25">
      <c r="A74" s="40" t="s">
        <v>265</v>
      </c>
      <c r="B74" s="7">
        <v>16215</v>
      </c>
      <c r="C74" s="7">
        <v>21400</v>
      </c>
      <c r="D74" s="3">
        <f t="shared" si="2"/>
        <v>5185</v>
      </c>
    </row>
    <row r="75" spans="1:4" ht="15" x14ac:dyDescent="0.25">
      <c r="A75" s="40" t="s">
        <v>127</v>
      </c>
      <c r="B75" s="7">
        <v>16317</v>
      </c>
      <c r="C75" s="7">
        <v>21505</v>
      </c>
      <c r="D75" s="3">
        <f t="shared" si="2"/>
        <v>5188</v>
      </c>
    </row>
    <row r="76" spans="1:4" ht="15" x14ac:dyDescent="0.25">
      <c r="A76" s="40" t="s">
        <v>300</v>
      </c>
      <c r="B76" s="7">
        <v>16664</v>
      </c>
      <c r="C76" s="7">
        <v>21855</v>
      </c>
      <c r="D76" s="3">
        <f t="shared" si="2"/>
        <v>5191</v>
      </c>
    </row>
    <row r="77" spans="1:4" ht="15" x14ac:dyDescent="0.25">
      <c r="A77" s="41" t="s">
        <v>303</v>
      </c>
      <c r="B77" s="7">
        <v>16745</v>
      </c>
      <c r="C77" s="7">
        <v>21937</v>
      </c>
      <c r="D77" s="3">
        <f t="shared" si="2"/>
        <v>5192</v>
      </c>
    </row>
    <row r="78" spans="1:4" ht="15" x14ac:dyDescent="0.25">
      <c r="A78" s="41" t="s">
        <v>265</v>
      </c>
      <c r="B78" s="7">
        <v>16848</v>
      </c>
      <c r="C78" s="7">
        <v>22034</v>
      </c>
      <c r="D78" s="3">
        <f t="shared" si="2"/>
        <v>5186</v>
      </c>
    </row>
    <row r="79" spans="1:4" ht="15" x14ac:dyDescent="0.25">
      <c r="A79" s="40" t="s">
        <v>302</v>
      </c>
      <c r="B79" s="7">
        <v>16976</v>
      </c>
      <c r="C79" s="7">
        <v>22158</v>
      </c>
      <c r="D79" s="3">
        <f t="shared" si="2"/>
        <v>5182</v>
      </c>
    </row>
    <row r="80" spans="1:4" ht="15" x14ac:dyDescent="0.25">
      <c r="A80" s="40" t="s">
        <v>248</v>
      </c>
      <c r="B80" s="7">
        <v>16999</v>
      </c>
      <c r="C80" s="7">
        <v>22190</v>
      </c>
      <c r="D80" s="3">
        <f t="shared" si="2"/>
        <v>5191</v>
      </c>
    </row>
    <row r="81" spans="1:4" ht="15" x14ac:dyDescent="0.25">
      <c r="A81" s="40" t="s">
        <v>301</v>
      </c>
      <c r="B81" s="40">
        <v>17133</v>
      </c>
      <c r="C81" s="7">
        <v>22325</v>
      </c>
      <c r="D81" s="3">
        <f t="shared" si="2"/>
        <v>5192</v>
      </c>
    </row>
    <row r="82" spans="1:4" ht="15" x14ac:dyDescent="0.25">
      <c r="A82" s="41" t="s">
        <v>304</v>
      </c>
      <c r="B82" s="7">
        <v>17487</v>
      </c>
      <c r="C82" s="7">
        <v>22995</v>
      </c>
      <c r="D82" s="3">
        <f t="shared" si="2"/>
        <v>5508</v>
      </c>
    </row>
    <row r="83" spans="1:4" ht="15" x14ac:dyDescent="0.25">
      <c r="A83" s="41" t="s">
        <v>306</v>
      </c>
      <c r="B83" s="7">
        <v>17632</v>
      </c>
      <c r="C83" s="7">
        <v>23135</v>
      </c>
      <c r="D83" s="3">
        <f t="shared" si="2"/>
        <v>5503</v>
      </c>
    </row>
    <row r="84" spans="1:4" ht="15" x14ac:dyDescent="0.25">
      <c r="A84" s="41" t="s">
        <v>305</v>
      </c>
      <c r="B84" s="7">
        <v>17791</v>
      </c>
      <c r="C84" s="7">
        <v>23287</v>
      </c>
      <c r="D84" s="3">
        <f t="shared" si="2"/>
        <v>5496</v>
      </c>
    </row>
    <row r="85" spans="1:4" ht="15" x14ac:dyDescent="0.25">
      <c r="A85" s="41" t="s">
        <v>307</v>
      </c>
      <c r="B85" s="7">
        <v>18160</v>
      </c>
      <c r="C85" s="7">
        <v>23974</v>
      </c>
      <c r="D85" s="3">
        <f t="shared" ref="D85:D105" si="4">IF(C85&lt;&gt;"",IF(B85&lt;&gt;"",C85-B85,"-"), "-")</f>
        <v>5814</v>
      </c>
    </row>
    <row r="86" spans="1:4" ht="15" x14ac:dyDescent="0.25">
      <c r="A86" s="41" t="s">
        <v>309</v>
      </c>
      <c r="B86" s="7">
        <v>18223</v>
      </c>
      <c r="C86" s="7">
        <v>24038</v>
      </c>
      <c r="D86" s="3">
        <f t="shared" si="4"/>
        <v>5815</v>
      </c>
    </row>
    <row r="87" spans="1:4" ht="15" x14ac:dyDescent="0.25">
      <c r="A87" s="41" t="s">
        <v>306</v>
      </c>
      <c r="B87" s="7">
        <v>18289</v>
      </c>
      <c r="C87" s="7">
        <v>24097</v>
      </c>
      <c r="D87" s="3">
        <f t="shared" si="4"/>
        <v>5808</v>
      </c>
    </row>
    <row r="88" spans="1:4" ht="15" x14ac:dyDescent="0.25">
      <c r="A88" s="41" t="s">
        <v>311</v>
      </c>
      <c r="B88" s="7"/>
      <c r="C88" s="7">
        <v>24186</v>
      </c>
      <c r="D88" s="3" t="str">
        <f t="shared" si="4"/>
        <v>-</v>
      </c>
    </row>
    <row r="89" spans="1:4" ht="15" x14ac:dyDescent="0.25">
      <c r="A89" s="41" t="s">
        <v>312</v>
      </c>
      <c r="B89" s="7"/>
      <c r="C89" s="7">
        <v>24206</v>
      </c>
      <c r="D89" s="3" t="str">
        <f t="shared" si="4"/>
        <v>-</v>
      </c>
    </row>
    <row r="90" spans="1:4" ht="15" x14ac:dyDescent="0.25">
      <c r="A90" s="41" t="s">
        <v>279</v>
      </c>
      <c r="B90" s="7"/>
      <c r="C90" s="7">
        <v>24244</v>
      </c>
      <c r="D90" s="3" t="str">
        <f t="shared" si="4"/>
        <v>-</v>
      </c>
    </row>
    <row r="91" spans="1:4" ht="15" x14ac:dyDescent="0.25">
      <c r="A91" s="41" t="s">
        <v>293</v>
      </c>
      <c r="B91" s="7"/>
      <c r="C91" s="7">
        <v>24282</v>
      </c>
      <c r="D91" s="3" t="str">
        <f t="shared" si="4"/>
        <v>-</v>
      </c>
    </row>
    <row r="92" spans="1:4" ht="15" x14ac:dyDescent="0.25">
      <c r="A92" s="41" t="s">
        <v>247</v>
      </c>
      <c r="B92" s="7"/>
      <c r="C92" s="7">
        <v>24297</v>
      </c>
      <c r="D92" s="3" t="str">
        <f t="shared" si="4"/>
        <v>-</v>
      </c>
    </row>
    <row r="93" spans="1:4" ht="15" x14ac:dyDescent="0.25">
      <c r="A93" s="41" t="s">
        <v>310</v>
      </c>
      <c r="B93" s="7"/>
      <c r="C93" s="7">
        <v>24357</v>
      </c>
      <c r="D93" s="3" t="str">
        <f t="shared" si="4"/>
        <v>-</v>
      </c>
    </row>
    <row r="94" spans="1:4" ht="15" x14ac:dyDescent="0.25">
      <c r="A94" s="41" t="s">
        <v>308</v>
      </c>
      <c r="B94" s="9">
        <v>18717</v>
      </c>
      <c r="C94" s="9">
        <v>24522</v>
      </c>
      <c r="D94" s="3">
        <f t="shared" si="4"/>
        <v>5805</v>
      </c>
    </row>
    <row r="95" spans="1:4" ht="15" x14ac:dyDescent="0.25">
      <c r="A95" s="41" t="s">
        <v>313</v>
      </c>
      <c r="B95" s="7">
        <v>19072</v>
      </c>
      <c r="C95" s="7">
        <v>25193</v>
      </c>
      <c r="D95" s="3">
        <f t="shared" si="4"/>
        <v>6121</v>
      </c>
    </row>
    <row r="96" spans="1:4" ht="15" x14ac:dyDescent="0.25">
      <c r="A96" s="41" t="s">
        <v>306</v>
      </c>
      <c r="B96" s="7">
        <v>19223</v>
      </c>
      <c r="C96" s="7">
        <v>25345</v>
      </c>
      <c r="D96" s="3">
        <f t="shared" si="4"/>
        <v>6122</v>
      </c>
    </row>
    <row r="97" spans="1:5" ht="15" x14ac:dyDescent="0.25">
      <c r="A97" s="41" t="s">
        <v>265</v>
      </c>
      <c r="B97" s="7">
        <v>19260</v>
      </c>
      <c r="C97" s="7">
        <v>25382</v>
      </c>
      <c r="D97" s="3">
        <f t="shared" si="4"/>
        <v>6122</v>
      </c>
    </row>
    <row r="98" spans="1:5" ht="15" x14ac:dyDescent="0.25">
      <c r="A98" s="41" t="s">
        <v>311</v>
      </c>
      <c r="B98" s="7">
        <v>19369</v>
      </c>
      <c r="C98" s="7">
        <v>25492</v>
      </c>
      <c r="D98" s="3">
        <f t="shared" si="4"/>
        <v>6123</v>
      </c>
    </row>
    <row r="99" spans="1:5" ht="15" x14ac:dyDescent="0.25">
      <c r="A99" s="41" t="s">
        <v>265</v>
      </c>
      <c r="B99" s="7">
        <v>19474</v>
      </c>
      <c r="C99" s="7">
        <v>25596</v>
      </c>
      <c r="D99" s="3">
        <f t="shared" si="4"/>
        <v>6122</v>
      </c>
    </row>
    <row r="100" spans="1:5" ht="15" x14ac:dyDescent="0.25">
      <c r="A100" s="41" t="s">
        <v>247</v>
      </c>
      <c r="B100" s="7">
        <v>19650</v>
      </c>
      <c r="C100" s="7">
        <v>25772</v>
      </c>
      <c r="D100" s="3">
        <f t="shared" si="4"/>
        <v>6122</v>
      </c>
    </row>
    <row r="101" spans="1:5" ht="15" x14ac:dyDescent="0.25">
      <c r="A101" s="41" t="s">
        <v>250</v>
      </c>
      <c r="B101" s="7">
        <v>19789</v>
      </c>
      <c r="C101" s="7">
        <v>25913</v>
      </c>
      <c r="D101" s="3">
        <f t="shared" si="4"/>
        <v>6124</v>
      </c>
    </row>
    <row r="102" spans="1:5" ht="15" x14ac:dyDescent="0.25">
      <c r="A102" s="41" t="s">
        <v>314</v>
      </c>
      <c r="B102" s="9">
        <v>19892</v>
      </c>
      <c r="C102" s="9">
        <v>26016</v>
      </c>
      <c r="D102" s="3">
        <f t="shared" si="4"/>
        <v>6124</v>
      </c>
    </row>
    <row r="103" spans="1:5" ht="15" x14ac:dyDescent="0.25">
      <c r="A103" s="41" t="s">
        <v>315</v>
      </c>
      <c r="B103" s="7">
        <v>20248</v>
      </c>
      <c r="C103" s="7">
        <v>26691</v>
      </c>
      <c r="D103" s="3">
        <f t="shared" si="4"/>
        <v>6443</v>
      </c>
    </row>
    <row r="104" spans="1:5" ht="15" x14ac:dyDescent="0.25">
      <c r="A104" s="42" t="s">
        <v>316</v>
      </c>
      <c r="B104" s="7">
        <v>20300</v>
      </c>
      <c r="C104" s="7">
        <v>26735</v>
      </c>
      <c r="D104" s="3">
        <f t="shared" si="4"/>
        <v>6435</v>
      </c>
      <c r="E104" t="s">
        <v>317</v>
      </c>
    </row>
    <row r="105" spans="1:5" ht="15" x14ac:dyDescent="0.25">
      <c r="A105" s="42" t="s">
        <v>318</v>
      </c>
      <c r="B105" s="7">
        <v>20429</v>
      </c>
      <c r="C105" s="7">
        <v>26863</v>
      </c>
      <c r="D105" s="3">
        <f t="shared" si="4"/>
        <v>6434</v>
      </c>
    </row>
    <row r="106" spans="1:5" ht="15" x14ac:dyDescent="0.25">
      <c r="A106" s="42" t="s">
        <v>319</v>
      </c>
      <c r="B106" s="7">
        <v>20541</v>
      </c>
      <c r="C106" s="7">
        <v>26982</v>
      </c>
      <c r="D106" s="3">
        <f t="shared" ref="D106:D191" si="5">IF(C106&lt;&gt;"",IF(B106&lt;&gt;"",C106-B106,"-"), "-")</f>
        <v>6441</v>
      </c>
    </row>
    <row r="107" spans="1:5" ht="15" x14ac:dyDescent="0.25">
      <c r="A107" s="42" t="s">
        <v>247</v>
      </c>
      <c r="B107" s="7">
        <v>20625</v>
      </c>
      <c r="C107" s="7">
        <v>27062</v>
      </c>
      <c r="D107" s="3">
        <f t="shared" si="5"/>
        <v>6437</v>
      </c>
    </row>
    <row r="108" spans="1:5" ht="15" x14ac:dyDescent="0.25">
      <c r="A108" s="42" t="s">
        <v>310</v>
      </c>
      <c r="B108" s="7">
        <v>20662</v>
      </c>
      <c r="C108" s="7">
        <v>27102</v>
      </c>
      <c r="D108" s="3">
        <f t="shared" si="5"/>
        <v>6440</v>
      </c>
    </row>
    <row r="109" spans="1:5" ht="15" x14ac:dyDescent="0.25">
      <c r="A109" s="42" t="s">
        <v>248</v>
      </c>
      <c r="B109" s="7">
        <v>20776</v>
      </c>
      <c r="C109" s="7">
        <v>27199</v>
      </c>
      <c r="D109" s="3">
        <f t="shared" si="5"/>
        <v>6423</v>
      </c>
    </row>
    <row r="110" spans="1:5" ht="15" x14ac:dyDescent="0.25">
      <c r="A110" s="42" t="s">
        <v>320</v>
      </c>
      <c r="B110" s="7">
        <v>20800</v>
      </c>
      <c r="C110" s="7">
        <v>27233</v>
      </c>
      <c r="D110" s="3">
        <f t="shared" si="5"/>
        <v>6433</v>
      </c>
    </row>
    <row r="111" spans="1:5" ht="15" x14ac:dyDescent="0.25">
      <c r="A111" s="42" t="s">
        <v>321</v>
      </c>
      <c r="B111" s="7">
        <v>21171</v>
      </c>
      <c r="C111" s="7">
        <v>27895</v>
      </c>
      <c r="D111" s="3">
        <f t="shared" si="5"/>
        <v>6724</v>
      </c>
    </row>
    <row r="112" spans="1:5" ht="15" x14ac:dyDescent="0.25">
      <c r="A112" s="43" t="s">
        <v>127</v>
      </c>
      <c r="B112" s="7">
        <v>21194</v>
      </c>
      <c r="C112" s="7">
        <v>27918</v>
      </c>
      <c r="D112" s="3">
        <f t="shared" si="5"/>
        <v>6724</v>
      </c>
    </row>
    <row r="113" spans="1:4" ht="15" x14ac:dyDescent="0.25">
      <c r="A113" s="43"/>
      <c r="B113" s="7">
        <v>21266</v>
      </c>
      <c r="C113" s="7"/>
      <c r="D113" s="3"/>
    </row>
    <row r="114" spans="1:4" ht="15" x14ac:dyDescent="0.25">
      <c r="A114" s="43" t="s">
        <v>322</v>
      </c>
      <c r="B114" s="7">
        <v>22192</v>
      </c>
      <c r="C114" s="7">
        <v>28938</v>
      </c>
      <c r="D114" s="3">
        <f t="shared" si="5"/>
        <v>6746</v>
      </c>
    </row>
    <row r="115" spans="1:4" ht="15" x14ac:dyDescent="0.25">
      <c r="A115" s="43" t="s">
        <v>323</v>
      </c>
      <c r="B115" s="7">
        <v>22549</v>
      </c>
      <c r="C115" s="7">
        <v>29449</v>
      </c>
      <c r="D115" s="3">
        <f t="shared" si="5"/>
        <v>6900</v>
      </c>
    </row>
    <row r="116" spans="1:4" ht="15" x14ac:dyDescent="0.25">
      <c r="A116" s="43" t="s">
        <v>319</v>
      </c>
      <c r="B116" s="7">
        <v>22613</v>
      </c>
      <c r="C116" s="7">
        <v>29514</v>
      </c>
      <c r="D116" s="3">
        <f t="shared" si="5"/>
        <v>6901</v>
      </c>
    </row>
    <row r="117" spans="1:4" ht="15" x14ac:dyDescent="0.25">
      <c r="A117" s="43" t="s">
        <v>311</v>
      </c>
      <c r="B117" s="7">
        <v>22650</v>
      </c>
      <c r="C117" s="7">
        <v>29551</v>
      </c>
      <c r="D117" s="3">
        <f t="shared" si="5"/>
        <v>6901</v>
      </c>
    </row>
    <row r="118" spans="1:4" ht="15" x14ac:dyDescent="0.25">
      <c r="A118" s="43" t="s">
        <v>312</v>
      </c>
      <c r="B118" s="7">
        <v>22658</v>
      </c>
      <c r="C118" s="7">
        <v>29559</v>
      </c>
      <c r="D118" s="3">
        <f t="shared" si="5"/>
        <v>6901</v>
      </c>
    </row>
    <row r="119" spans="1:4" ht="15" x14ac:dyDescent="0.25">
      <c r="A119" s="43" t="s">
        <v>293</v>
      </c>
      <c r="B119" s="7">
        <v>22684</v>
      </c>
      <c r="C119" s="7">
        <v>29585</v>
      </c>
      <c r="D119" s="3">
        <f t="shared" si="5"/>
        <v>6901</v>
      </c>
    </row>
    <row r="120" spans="1:4" ht="15" x14ac:dyDescent="0.25">
      <c r="A120" s="43" t="s">
        <v>265</v>
      </c>
      <c r="B120" s="7">
        <v>22824</v>
      </c>
      <c r="C120" s="7">
        <v>29726</v>
      </c>
      <c r="D120" s="3">
        <f t="shared" si="5"/>
        <v>6902</v>
      </c>
    </row>
    <row r="121" spans="1:4" ht="15" x14ac:dyDescent="0.25">
      <c r="A121" s="43" t="s">
        <v>324</v>
      </c>
      <c r="B121" s="7">
        <v>22963</v>
      </c>
      <c r="C121" s="7">
        <v>29871</v>
      </c>
      <c r="D121" s="3">
        <f t="shared" si="5"/>
        <v>6908</v>
      </c>
    </row>
    <row r="122" spans="1:4" ht="15" x14ac:dyDescent="0.25">
      <c r="A122" s="43" t="s">
        <v>325</v>
      </c>
      <c r="B122" s="7">
        <v>23359</v>
      </c>
      <c r="C122" s="7">
        <v>30519</v>
      </c>
      <c r="D122" s="3">
        <f t="shared" si="5"/>
        <v>7160</v>
      </c>
    </row>
    <row r="123" spans="1:4" ht="15" x14ac:dyDescent="0.25">
      <c r="A123" s="43" t="s">
        <v>261</v>
      </c>
      <c r="B123" s="7">
        <v>23409</v>
      </c>
      <c r="C123" s="7">
        <v>30570</v>
      </c>
      <c r="D123" s="3">
        <f t="shared" si="5"/>
        <v>7161</v>
      </c>
    </row>
    <row r="124" spans="1:4" ht="15" x14ac:dyDescent="0.25">
      <c r="A124" s="43" t="s">
        <v>312</v>
      </c>
      <c r="B124" s="7">
        <v>23500</v>
      </c>
      <c r="C124" s="7">
        <v>30662</v>
      </c>
      <c r="D124" s="3">
        <f t="shared" si="5"/>
        <v>7162</v>
      </c>
    </row>
    <row r="125" spans="1:4" ht="15" x14ac:dyDescent="0.25">
      <c r="A125" s="43" t="s">
        <v>247</v>
      </c>
      <c r="B125" s="7">
        <v>23634</v>
      </c>
      <c r="C125" s="7">
        <v>30801</v>
      </c>
      <c r="D125" s="3">
        <f t="shared" si="5"/>
        <v>7167</v>
      </c>
    </row>
    <row r="126" spans="1:4" ht="15" x14ac:dyDescent="0.25">
      <c r="A126" s="43" t="s">
        <v>302</v>
      </c>
      <c r="B126" s="7">
        <v>23688</v>
      </c>
      <c r="C126" s="7">
        <v>30855</v>
      </c>
      <c r="D126" s="3">
        <f t="shared" si="5"/>
        <v>7167</v>
      </c>
    </row>
    <row r="127" spans="1:4" ht="15" x14ac:dyDescent="0.25">
      <c r="A127" s="43" t="s">
        <v>248</v>
      </c>
      <c r="B127" s="7">
        <v>23794</v>
      </c>
      <c r="C127" s="7">
        <v>30962</v>
      </c>
      <c r="D127" s="3">
        <f t="shared" si="5"/>
        <v>7168</v>
      </c>
    </row>
    <row r="128" spans="1:4" ht="15" x14ac:dyDescent="0.25">
      <c r="A128" s="43" t="s">
        <v>326</v>
      </c>
      <c r="B128" s="7">
        <v>23863</v>
      </c>
      <c r="C128" s="7">
        <v>31054</v>
      </c>
      <c r="D128" s="3">
        <f t="shared" si="5"/>
        <v>7191</v>
      </c>
    </row>
    <row r="129" spans="1:5" ht="15" x14ac:dyDescent="0.25">
      <c r="A129" s="43" t="s">
        <v>327</v>
      </c>
      <c r="B129" s="7">
        <v>24238</v>
      </c>
      <c r="C129" s="7">
        <v>31723</v>
      </c>
      <c r="D129" s="3">
        <f t="shared" si="5"/>
        <v>7485</v>
      </c>
    </row>
    <row r="130" spans="1:5" ht="15" x14ac:dyDescent="0.25">
      <c r="A130" s="43" t="s">
        <v>293</v>
      </c>
      <c r="B130" s="7">
        <v>24844</v>
      </c>
      <c r="C130" s="7">
        <v>32330</v>
      </c>
      <c r="D130" s="3">
        <f t="shared" si="5"/>
        <v>7486</v>
      </c>
    </row>
    <row r="131" spans="1:5" ht="15" x14ac:dyDescent="0.25">
      <c r="A131" s="43" t="s">
        <v>265</v>
      </c>
      <c r="B131" s="7">
        <v>24975</v>
      </c>
      <c r="C131" s="7">
        <v>32473</v>
      </c>
      <c r="D131" s="3">
        <f t="shared" si="5"/>
        <v>7498</v>
      </c>
    </row>
    <row r="132" spans="1:5" ht="15" x14ac:dyDescent="0.25">
      <c r="A132" s="43" t="s">
        <v>328</v>
      </c>
      <c r="B132" s="7">
        <v>25098</v>
      </c>
      <c r="C132" s="7">
        <v>32615</v>
      </c>
      <c r="D132" s="3">
        <f t="shared" si="5"/>
        <v>7517</v>
      </c>
    </row>
    <row r="133" spans="1:5" ht="15" x14ac:dyDescent="0.25">
      <c r="A133" s="43" t="s">
        <v>329</v>
      </c>
      <c r="B133" s="7">
        <v>25452</v>
      </c>
      <c r="C133" s="7">
        <v>33269</v>
      </c>
      <c r="D133" s="3">
        <f t="shared" si="5"/>
        <v>7817</v>
      </c>
    </row>
    <row r="134" spans="1:5" ht="15" x14ac:dyDescent="0.25">
      <c r="A134" s="44" t="s">
        <v>330</v>
      </c>
      <c r="B134" s="7">
        <v>26350</v>
      </c>
      <c r="C134" s="7">
        <v>34168</v>
      </c>
      <c r="D134" s="3">
        <f t="shared" si="5"/>
        <v>7818</v>
      </c>
      <c r="E134" s="7"/>
    </row>
    <row r="135" spans="1:5" ht="15" x14ac:dyDescent="0.25">
      <c r="A135" s="44" t="s">
        <v>331</v>
      </c>
      <c r="B135" s="7">
        <v>26701</v>
      </c>
      <c r="C135" s="7">
        <v>34822</v>
      </c>
      <c r="D135" s="3">
        <f t="shared" si="5"/>
        <v>8121</v>
      </c>
    </row>
    <row r="136" spans="1:5" ht="15" x14ac:dyDescent="0.25">
      <c r="A136" s="44" t="s">
        <v>319</v>
      </c>
      <c r="B136" s="7">
        <v>26782</v>
      </c>
      <c r="C136" s="7">
        <v>34903</v>
      </c>
      <c r="D136" s="3">
        <f t="shared" si="5"/>
        <v>8121</v>
      </c>
    </row>
    <row r="137" spans="1:5" ht="15" x14ac:dyDescent="0.25">
      <c r="A137" s="44" t="s">
        <v>333</v>
      </c>
      <c r="B137" s="7">
        <v>27027</v>
      </c>
      <c r="C137" s="7">
        <v>35149</v>
      </c>
      <c r="D137" s="3">
        <f t="shared" si="5"/>
        <v>8122</v>
      </c>
    </row>
    <row r="138" spans="1:5" ht="15" x14ac:dyDescent="0.25">
      <c r="A138" s="44" t="s">
        <v>265</v>
      </c>
      <c r="B138" s="7">
        <v>27090</v>
      </c>
      <c r="C138" s="7">
        <v>35212</v>
      </c>
      <c r="D138" s="3">
        <f t="shared" si="5"/>
        <v>8122</v>
      </c>
    </row>
    <row r="139" spans="1:5" ht="15" x14ac:dyDescent="0.25">
      <c r="A139" s="44" t="s">
        <v>302</v>
      </c>
      <c r="B139" s="7">
        <v>27303</v>
      </c>
      <c r="C139" s="7">
        <v>35427</v>
      </c>
      <c r="D139" s="3">
        <f t="shared" si="5"/>
        <v>8124</v>
      </c>
    </row>
    <row r="140" spans="1:5" ht="15" x14ac:dyDescent="0.25">
      <c r="A140" s="44" t="s">
        <v>335</v>
      </c>
      <c r="B140" s="7">
        <v>27326</v>
      </c>
      <c r="C140" s="7">
        <v>35449</v>
      </c>
      <c r="D140" s="3">
        <f t="shared" si="5"/>
        <v>8123</v>
      </c>
    </row>
    <row r="141" spans="1:5" ht="15" x14ac:dyDescent="0.25">
      <c r="A141" s="44" t="s">
        <v>334</v>
      </c>
      <c r="B141" s="7">
        <v>27428</v>
      </c>
      <c r="C141" s="7">
        <v>35544</v>
      </c>
      <c r="D141" s="3">
        <f t="shared" si="5"/>
        <v>8116</v>
      </c>
    </row>
    <row r="142" spans="1:5" ht="15" x14ac:dyDescent="0.25">
      <c r="A142" s="44" t="s">
        <v>332</v>
      </c>
      <c r="B142" s="7">
        <v>27490</v>
      </c>
      <c r="C142" s="7">
        <v>35629</v>
      </c>
      <c r="D142" s="3">
        <f t="shared" si="5"/>
        <v>8139</v>
      </c>
    </row>
    <row r="143" spans="1:5" ht="15" x14ac:dyDescent="0.25">
      <c r="A143" s="44" t="s">
        <v>336</v>
      </c>
      <c r="B143" s="7">
        <v>27838</v>
      </c>
      <c r="C143" s="7">
        <v>36238</v>
      </c>
      <c r="D143" s="3">
        <f t="shared" si="5"/>
        <v>8400</v>
      </c>
    </row>
    <row r="144" spans="1:5" ht="15" x14ac:dyDescent="0.25">
      <c r="A144" s="44" t="s">
        <v>311</v>
      </c>
      <c r="B144" s="7">
        <v>27984</v>
      </c>
      <c r="C144" s="7">
        <v>36384</v>
      </c>
      <c r="D144" s="3">
        <f t="shared" si="5"/>
        <v>8400</v>
      </c>
    </row>
    <row r="145" spans="1:5" ht="15" x14ac:dyDescent="0.25">
      <c r="A145" s="44" t="s">
        <v>312</v>
      </c>
      <c r="B145" s="7">
        <v>28083</v>
      </c>
      <c r="C145" s="7">
        <v>36483</v>
      </c>
      <c r="D145" s="3">
        <f t="shared" si="5"/>
        <v>8400</v>
      </c>
    </row>
    <row r="146" spans="1:5" ht="15" x14ac:dyDescent="0.25">
      <c r="A146" s="44" t="s">
        <v>265</v>
      </c>
      <c r="B146" s="7">
        <v>28111</v>
      </c>
      <c r="C146" s="7">
        <v>36511</v>
      </c>
      <c r="D146" s="3">
        <f t="shared" si="5"/>
        <v>8400</v>
      </c>
    </row>
    <row r="147" spans="1:5" ht="15" x14ac:dyDescent="0.25">
      <c r="A147" s="44" t="s">
        <v>265</v>
      </c>
      <c r="B147" s="7">
        <v>28300</v>
      </c>
      <c r="C147" s="7">
        <v>36700</v>
      </c>
      <c r="D147" s="3">
        <f t="shared" si="5"/>
        <v>8400</v>
      </c>
    </row>
    <row r="148" spans="1:5" ht="15" x14ac:dyDescent="0.25">
      <c r="A148" s="44" t="s">
        <v>250</v>
      </c>
      <c r="B148" s="7">
        <v>28832</v>
      </c>
      <c r="C148" s="7">
        <v>37239</v>
      </c>
      <c r="D148" s="3">
        <f t="shared" si="5"/>
        <v>8407</v>
      </c>
    </row>
    <row r="149" spans="1:5" ht="15" x14ac:dyDescent="0.25">
      <c r="A149" s="44" t="s">
        <v>337</v>
      </c>
      <c r="B149" s="10">
        <v>28899</v>
      </c>
      <c r="C149" s="10">
        <v>37318</v>
      </c>
      <c r="D149" s="3">
        <f t="shared" si="5"/>
        <v>8419</v>
      </c>
    </row>
    <row r="150" spans="1:5" ht="15" x14ac:dyDescent="0.25">
      <c r="A150" s="44" t="s">
        <v>338</v>
      </c>
      <c r="B150" s="7">
        <v>29251</v>
      </c>
      <c r="C150" s="7">
        <v>37818</v>
      </c>
      <c r="D150" s="3">
        <f t="shared" si="5"/>
        <v>8567</v>
      </c>
    </row>
    <row r="151" spans="1:5" ht="15" x14ac:dyDescent="0.25">
      <c r="A151" s="44" t="s">
        <v>339</v>
      </c>
      <c r="B151" s="7">
        <v>29251</v>
      </c>
      <c r="C151" s="7">
        <v>37818</v>
      </c>
      <c r="D151" s="3">
        <f t="shared" si="5"/>
        <v>8567</v>
      </c>
    </row>
    <row r="152" spans="1:5" ht="15" x14ac:dyDescent="0.25">
      <c r="A152" s="44" t="s">
        <v>150</v>
      </c>
      <c r="B152" s="7">
        <v>29377</v>
      </c>
      <c r="C152" s="7">
        <v>37941</v>
      </c>
      <c r="D152" s="3">
        <f t="shared" si="5"/>
        <v>8564</v>
      </c>
      <c r="E152" s="44" t="s">
        <v>342</v>
      </c>
    </row>
    <row r="153" spans="1:5" ht="15" x14ac:dyDescent="0.25">
      <c r="A153" s="44" t="s">
        <v>340</v>
      </c>
      <c r="B153" s="7">
        <v>29508</v>
      </c>
      <c r="C153" s="7">
        <v>38068</v>
      </c>
      <c r="D153" s="3">
        <f t="shared" ref="D153" si="6">IF(C153&lt;&gt;"",IF(B153&lt;&gt;"",C153-B153,"-"), "-")</f>
        <v>8560</v>
      </c>
      <c r="E153" t="s">
        <v>341</v>
      </c>
    </row>
    <row r="154" spans="1:5" ht="15" x14ac:dyDescent="0.25">
      <c r="A154" s="44" t="s">
        <v>312</v>
      </c>
      <c r="B154" s="7">
        <v>29615</v>
      </c>
      <c r="C154" s="7">
        <v>38174</v>
      </c>
      <c r="D154" s="3">
        <f t="shared" si="5"/>
        <v>8559</v>
      </c>
    </row>
    <row r="155" spans="1:5" ht="15" x14ac:dyDescent="0.25">
      <c r="A155" s="44" t="s">
        <v>150</v>
      </c>
      <c r="B155" s="7">
        <v>29666</v>
      </c>
      <c r="C155" s="7">
        <v>38224</v>
      </c>
      <c r="D155" s="3">
        <f t="shared" si="5"/>
        <v>8558</v>
      </c>
    </row>
    <row r="156" spans="1:5" ht="15" x14ac:dyDescent="0.25">
      <c r="A156" s="44" t="s">
        <v>293</v>
      </c>
      <c r="B156" s="7">
        <v>29771</v>
      </c>
      <c r="C156" s="7">
        <v>38329</v>
      </c>
      <c r="D156" s="3">
        <f t="shared" si="5"/>
        <v>8558</v>
      </c>
    </row>
    <row r="157" spans="1:5" ht="15" x14ac:dyDescent="0.25">
      <c r="A157" s="44" t="s">
        <v>45</v>
      </c>
      <c r="B157" s="7">
        <v>29961</v>
      </c>
      <c r="C157" s="7">
        <v>38519</v>
      </c>
      <c r="D157" s="3">
        <f t="shared" si="5"/>
        <v>8558</v>
      </c>
    </row>
    <row r="158" spans="1:5" ht="15" x14ac:dyDescent="0.25">
      <c r="A158" s="44" t="s">
        <v>343</v>
      </c>
      <c r="B158" s="7">
        <v>30319</v>
      </c>
      <c r="C158" s="7">
        <v>39162</v>
      </c>
      <c r="D158" s="3">
        <f t="shared" si="5"/>
        <v>8843</v>
      </c>
    </row>
    <row r="159" spans="1:5" ht="15" x14ac:dyDescent="0.25">
      <c r="A159" s="44" t="s">
        <v>310</v>
      </c>
      <c r="B159" s="7">
        <v>30354</v>
      </c>
      <c r="C159" s="7">
        <v>39201</v>
      </c>
      <c r="D159" s="3">
        <f t="shared" si="5"/>
        <v>8847</v>
      </c>
    </row>
    <row r="160" spans="1:5" ht="15" x14ac:dyDescent="0.25">
      <c r="A160" s="44" t="s">
        <v>302</v>
      </c>
      <c r="B160" s="7">
        <v>30373</v>
      </c>
      <c r="C160" s="7">
        <v>39219</v>
      </c>
      <c r="D160" s="3">
        <f t="shared" si="5"/>
        <v>8846</v>
      </c>
    </row>
    <row r="161" spans="1:4" ht="15" x14ac:dyDescent="0.25">
      <c r="A161" s="44" t="s">
        <v>249</v>
      </c>
      <c r="B161" s="7">
        <v>30425</v>
      </c>
      <c r="C161" s="7">
        <v>39271</v>
      </c>
      <c r="D161" s="3">
        <f t="shared" si="5"/>
        <v>8846</v>
      </c>
    </row>
    <row r="162" spans="1:4" ht="15" x14ac:dyDescent="0.25">
      <c r="A162" s="44" t="s">
        <v>46</v>
      </c>
      <c r="B162" s="7">
        <v>30479</v>
      </c>
      <c r="C162" s="7">
        <v>39327</v>
      </c>
      <c r="D162" s="3">
        <f t="shared" si="5"/>
        <v>8848</v>
      </c>
    </row>
    <row r="163" spans="1:4" ht="15" x14ac:dyDescent="0.25">
      <c r="A163" s="44" t="s">
        <v>344</v>
      </c>
      <c r="B163" s="7">
        <v>31129</v>
      </c>
      <c r="C163" s="7">
        <v>39979</v>
      </c>
      <c r="D163" s="3">
        <f t="shared" si="5"/>
        <v>8850</v>
      </c>
    </row>
    <row r="164" spans="1:4" ht="15" x14ac:dyDescent="0.25">
      <c r="A164" s="44" t="s">
        <v>306</v>
      </c>
      <c r="B164" s="7">
        <v>31202</v>
      </c>
      <c r="C164" s="7">
        <v>40051</v>
      </c>
      <c r="D164" s="3">
        <f t="shared" si="5"/>
        <v>8849</v>
      </c>
    </row>
    <row r="165" spans="1:4" ht="15" x14ac:dyDescent="0.25">
      <c r="A165" s="44" t="s">
        <v>345</v>
      </c>
      <c r="B165" s="7">
        <v>31269</v>
      </c>
      <c r="C165" s="7">
        <v>40119</v>
      </c>
      <c r="D165" s="3">
        <f t="shared" si="5"/>
        <v>8850</v>
      </c>
    </row>
    <row r="166" spans="1:4" ht="15" x14ac:dyDescent="0.25">
      <c r="A166" s="44" t="s">
        <v>247</v>
      </c>
      <c r="B166" s="7">
        <v>31408</v>
      </c>
      <c r="C166" s="7">
        <v>40257</v>
      </c>
      <c r="D166" s="3">
        <f t="shared" si="5"/>
        <v>8849</v>
      </c>
    </row>
    <row r="167" spans="1:4" ht="15" x14ac:dyDescent="0.25">
      <c r="A167" s="44" t="s">
        <v>346</v>
      </c>
      <c r="B167" s="7">
        <v>31522</v>
      </c>
      <c r="C167" s="7">
        <v>40368</v>
      </c>
      <c r="D167" s="3">
        <f t="shared" si="5"/>
        <v>8846</v>
      </c>
    </row>
    <row r="168" spans="1:4" ht="15" x14ac:dyDescent="0.25">
      <c r="A168" s="44" t="s">
        <v>150</v>
      </c>
      <c r="B168" s="7">
        <v>31562</v>
      </c>
      <c r="C168" s="7">
        <v>40409</v>
      </c>
      <c r="D168" s="3">
        <f t="shared" si="5"/>
        <v>8847</v>
      </c>
    </row>
    <row r="169" spans="1:4" ht="15" x14ac:dyDescent="0.25">
      <c r="A169" s="44" t="s">
        <v>28</v>
      </c>
      <c r="B169" s="7">
        <v>31638</v>
      </c>
      <c r="C169" s="7">
        <v>40487</v>
      </c>
      <c r="D169" s="3">
        <f t="shared" si="5"/>
        <v>8849</v>
      </c>
    </row>
    <row r="170" spans="1:4" ht="15" x14ac:dyDescent="0.25">
      <c r="A170" s="44" t="s">
        <v>347</v>
      </c>
      <c r="B170" s="7">
        <v>32014</v>
      </c>
      <c r="C170" s="7">
        <v>41162</v>
      </c>
      <c r="D170" s="3">
        <f t="shared" si="5"/>
        <v>9148</v>
      </c>
    </row>
    <row r="171" spans="1:4" ht="15" x14ac:dyDescent="0.25">
      <c r="A171" s="44" t="s">
        <v>247</v>
      </c>
      <c r="B171" s="7">
        <v>32090</v>
      </c>
      <c r="C171" s="7">
        <v>41237</v>
      </c>
      <c r="D171" s="3">
        <f t="shared" si="5"/>
        <v>9147</v>
      </c>
    </row>
    <row r="172" spans="1:4" ht="15" x14ac:dyDescent="0.25">
      <c r="A172" s="44" t="s">
        <v>150</v>
      </c>
      <c r="B172" s="7">
        <v>32120</v>
      </c>
      <c r="C172" s="7">
        <v>41266</v>
      </c>
      <c r="D172" s="3">
        <f t="shared" si="5"/>
        <v>9146</v>
      </c>
    </row>
    <row r="173" spans="1:4" ht="15" x14ac:dyDescent="0.25">
      <c r="A173" s="44" t="s">
        <v>310</v>
      </c>
      <c r="B173" s="7">
        <v>32158</v>
      </c>
      <c r="C173" s="7">
        <v>41304</v>
      </c>
      <c r="D173" s="3">
        <f t="shared" si="5"/>
        <v>9146</v>
      </c>
    </row>
    <row r="174" spans="1:4" ht="15" x14ac:dyDescent="0.25">
      <c r="A174" s="44" t="s">
        <v>265</v>
      </c>
      <c r="B174" s="7">
        <v>32252</v>
      </c>
      <c r="C174" s="7">
        <v>41401</v>
      </c>
      <c r="D174" s="3">
        <f t="shared" si="5"/>
        <v>9149</v>
      </c>
    </row>
    <row r="175" spans="1:4" ht="15" x14ac:dyDescent="0.25">
      <c r="A175" s="44" t="s">
        <v>249</v>
      </c>
      <c r="B175" s="7">
        <v>32338</v>
      </c>
      <c r="C175" s="7">
        <v>41492</v>
      </c>
      <c r="D175" s="3">
        <f t="shared" si="5"/>
        <v>9154</v>
      </c>
    </row>
    <row r="176" spans="1:4" ht="15" x14ac:dyDescent="0.25">
      <c r="A176" s="44" t="s">
        <v>248</v>
      </c>
      <c r="B176" s="7">
        <v>32484</v>
      </c>
      <c r="C176" s="7">
        <v>41638</v>
      </c>
      <c r="D176" s="3">
        <f t="shared" si="5"/>
        <v>9154</v>
      </c>
    </row>
    <row r="177" spans="1:4" ht="15" x14ac:dyDescent="0.25">
      <c r="A177" s="44" t="s">
        <v>250</v>
      </c>
      <c r="B177" s="7">
        <v>32559</v>
      </c>
      <c r="C177" s="7">
        <v>41709</v>
      </c>
      <c r="D177" s="3">
        <f t="shared" si="5"/>
        <v>9150</v>
      </c>
    </row>
    <row r="178" spans="1:4" ht="15" x14ac:dyDescent="0.25">
      <c r="A178" s="45" t="s">
        <v>29</v>
      </c>
      <c r="B178" s="7">
        <v>32586</v>
      </c>
      <c r="C178" s="7">
        <v>41736</v>
      </c>
      <c r="D178" s="3">
        <f t="shared" si="5"/>
        <v>9150</v>
      </c>
    </row>
    <row r="179" spans="1:4" ht="15" x14ac:dyDescent="0.25">
      <c r="A179" s="45" t="s">
        <v>358</v>
      </c>
      <c r="B179" s="7">
        <v>32930</v>
      </c>
      <c r="C179" s="7">
        <v>42081</v>
      </c>
      <c r="D179" s="3">
        <f t="shared" si="5"/>
        <v>9151</v>
      </c>
    </row>
    <row r="180" spans="1:4" ht="15" x14ac:dyDescent="0.25">
      <c r="A180" s="45" t="s">
        <v>351</v>
      </c>
      <c r="B180" s="7">
        <v>32931</v>
      </c>
      <c r="C180" s="7">
        <v>42082</v>
      </c>
      <c r="D180" s="3">
        <f t="shared" si="5"/>
        <v>9151</v>
      </c>
    </row>
    <row r="181" spans="1:4" ht="15" x14ac:dyDescent="0.25">
      <c r="A181" s="45" t="s">
        <v>350</v>
      </c>
      <c r="B181" s="7">
        <v>33090</v>
      </c>
      <c r="C181" s="7">
        <v>42234</v>
      </c>
      <c r="D181" s="3">
        <f t="shared" si="5"/>
        <v>9144</v>
      </c>
    </row>
    <row r="182" spans="1:4" ht="15" x14ac:dyDescent="0.25">
      <c r="A182" s="45" t="s">
        <v>349</v>
      </c>
      <c r="B182" s="7">
        <v>33253</v>
      </c>
      <c r="C182" s="7">
        <v>42389</v>
      </c>
      <c r="D182" s="3">
        <f t="shared" si="5"/>
        <v>9136</v>
      </c>
    </row>
    <row r="183" spans="1:4" ht="15" x14ac:dyDescent="0.25">
      <c r="A183" s="44" t="s">
        <v>348</v>
      </c>
      <c r="B183" s="7">
        <v>33254</v>
      </c>
      <c r="C183" s="7">
        <v>42391</v>
      </c>
      <c r="D183" s="3">
        <f t="shared" si="5"/>
        <v>9137</v>
      </c>
    </row>
    <row r="184" spans="1:4" ht="15" x14ac:dyDescent="0.25">
      <c r="A184" s="45" t="s">
        <v>352</v>
      </c>
      <c r="B184" s="7">
        <v>33300</v>
      </c>
      <c r="C184" s="7">
        <v>42437</v>
      </c>
      <c r="D184" s="3">
        <f t="shared" si="5"/>
        <v>9137</v>
      </c>
    </row>
    <row r="185" spans="1:4" ht="15" x14ac:dyDescent="0.25">
      <c r="A185" s="45" t="s">
        <v>353</v>
      </c>
      <c r="B185" s="7">
        <v>33377</v>
      </c>
      <c r="C185" s="7">
        <v>42515</v>
      </c>
      <c r="D185" s="3">
        <f t="shared" si="5"/>
        <v>9138</v>
      </c>
    </row>
    <row r="186" spans="1:4" ht="15" x14ac:dyDescent="0.25">
      <c r="A186" s="45" t="s">
        <v>265</v>
      </c>
      <c r="B186" s="7">
        <v>33447</v>
      </c>
      <c r="C186" s="7">
        <v>42585</v>
      </c>
      <c r="D186" s="3">
        <f t="shared" si="5"/>
        <v>9138</v>
      </c>
    </row>
    <row r="187" spans="1:4" ht="15" x14ac:dyDescent="0.25">
      <c r="A187" s="45" t="s">
        <v>354</v>
      </c>
      <c r="B187" s="7">
        <v>33499</v>
      </c>
      <c r="C187" s="7">
        <v>42637</v>
      </c>
      <c r="D187" s="3">
        <f t="shared" si="5"/>
        <v>9138</v>
      </c>
    </row>
    <row r="188" spans="1:4" ht="15" x14ac:dyDescent="0.25">
      <c r="A188" s="45" t="s">
        <v>355</v>
      </c>
      <c r="B188" s="7">
        <v>33539</v>
      </c>
      <c r="C188" s="7">
        <v>42678</v>
      </c>
      <c r="D188" s="3">
        <f t="shared" si="5"/>
        <v>9139</v>
      </c>
    </row>
    <row r="189" spans="1:4" ht="15" x14ac:dyDescent="0.25">
      <c r="A189" s="45" t="s">
        <v>356</v>
      </c>
      <c r="B189" s="7">
        <v>33601</v>
      </c>
      <c r="C189" s="7">
        <v>42740</v>
      </c>
      <c r="D189" s="3">
        <f t="shared" si="5"/>
        <v>9139</v>
      </c>
    </row>
    <row r="190" spans="1:4" ht="15" x14ac:dyDescent="0.25">
      <c r="A190" s="45" t="s">
        <v>319</v>
      </c>
      <c r="B190" s="7">
        <v>33648</v>
      </c>
      <c r="C190" s="7">
        <v>42788</v>
      </c>
      <c r="D190" s="3">
        <f t="shared" si="5"/>
        <v>9140</v>
      </c>
    </row>
    <row r="191" spans="1:4" ht="15" x14ac:dyDescent="0.25">
      <c r="A191" s="45" t="s">
        <v>31</v>
      </c>
      <c r="B191" s="7">
        <v>33882</v>
      </c>
      <c r="C191" s="7">
        <v>43040</v>
      </c>
      <c r="D191" s="3">
        <f t="shared" si="5"/>
        <v>9158</v>
      </c>
    </row>
    <row r="192" spans="1:4" ht="15" x14ac:dyDescent="0.25">
      <c r="A192" s="45" t="s">
        <v>357</v>
      </c>
      <c r="B192" s="7">
        <v>34259</v>
      </c>
      <c r="C192" s="7">
        <v>43721</v>
      </c>
      <c r="D192" s="3">
        <f t="shared" ref="D192:D299" si="7">IF(C192&lt;&gt;"",IF(B192&lt;&gt;"",C192-B192,"-"), "-")</f>
        <v>9462</v>
      </c>
    </row>
    <row r="193" spans="1:4" ht="15" x14ac:dyDescent="0.25">
      <c r="A193" s="45" t="s">
        <v>359</v>
      </c>
      <c r="B193" s="7">
        <v>34658</v>
      </c>
      <c r="C193" s="7">
        <v>44120</v>
      </c>
      <c r="D193" s="3">
        <f t="shared" si="7"/>
        <v>9462</v>
      </c>
    </row>
    <row r="194" spans="1:4" ht="15" x14ac:dyDescent="0.25">
      <c r="A194" s="45" t="s">
        <v>265</v>
      </c>
      <c r="B194" s="7">
        <v>34694</v>
      </c>
      <c r="C194" s="7">
        <v>44156</v>
      </c>
      <c r="D194" s="3">
        <f t="shared" si="7"/>
        <v>9462</v>
      </c>
    </row>
    <row r="195" spans="1:4" ht="15" x14ac:dyDescent="0.25">
      <c r="A195" s="45" t="s">
        <v>360</v>
      </c>
      <c r="B195" s="7">
        <v>34735</v>
      </c>
      <c r="C195" s="7">
        <v>44194</v>
      </c>
      <c r="D195" s="3">
        <f t="shared" si="7"/>
        <v>9459</v>
      </c>
    </row>
    <row r="196" spans="1:4" ht="15" x14ac:dyDescent="0.25">
      <c r="A196" s="45" t="s">
        <v>30</v>
      </c>
      <c r="B196" s="7">
        <v>34861</v>
      </c>
      <c r="C196" s="7">
        <v>44322</v>
      </c>
      <c r="D196" s="3">
        <f t="shared" si="7"/>
        <v>9461</v>
      </c>
    </row>
    <row r="197" spans="1:4" ht="15" x14ac:dyDescent="0.25">
      <c r="A197" s="45" t="s">
        <v>361</v>
      </c>
      <c r="B197" s="7">
        <v>35214</v>
      </c>
      <c r="C197" s="7">
        <v>44991</v>
      </c>
      <c r="D197" s="3">
        <f t="shared" si="7"/>
        <v>9777</v>
      </c>
    </row>
    <row r="198" spans="1:4" ht="15" x14ac:dyDescent="0.25">
      <c r="A198" s="45" t="s">
        <v>32</v>
      </c>
      <c r="B198" s="7">
        <v>35770</v>
      </c>
      <c r="C198" s="7">
        <v>45580</v>
      </c>
      <c r="D198" s="3">
        <f t="shared" si="7"/>
        <v>9810</v>
      </c>
    </row>
    <row r="199" spans="1:4" ht="15" x14ac:dyDescent="0.25">
      <c r="A199" s="45" t="s">
        <v>362</v>
      </c>
      <c r="B199" s="7">
        <v>36129</v>
      </c>
      <c r="C199" s="7">
        <v>46255</v>
      </c>
      <c r="D199" s="3">
        <f t="shared" si="7"/>
        <v>10126</v>
      </c>
    </row>
    <row r="200" spans="1:4" ht="15" x14ac:dyDescent="0.25">
      <c r="A200" s="46" t="s">
        <v>360</v>
      </c>
      <c r="B200" s="7">
        <v>36274</v>
      </c>
      <c r="C200" s="7">
        <v>46401</v>
      </c>
      <c r="D200" s="3">
        <f t="shared" si="7"/>
        <v>10127</v>
      </c>
    </row>
    <row r="201" spans="1:4" ht="15" x14ac:dyDescent="0.25">
      <c r="A201" s="46" t="s">
        <v>47</v>
      </c>
      <c r="B201" s="7">
        <v>36893</v>
      </c>
      <c r="C201" s="7">
        <v>47022</v>
      </c>
      <c r="D201" s="3">
        <f t="shared" si="7"/>
        <v>10129</v>
      </c>
    </row>
    <row r="202" spans="1:4" ht="15" x14ac:dyDescent="0.25">
      <c r="A202" s="46" t="s">
        <v>363</v>
      </c>
      <c r="B202" s="7">
        <v>37256</v>
      </c>
      <c r="C202" s="7">
        <v>47544</v>
      </c>
      <c r="D202" s="3">
        <f t="shared" si="7"/>
        <v>10288</v>
      </c>
    </row>
    <row r="203" spans="1:4" ht="15" x14ac:dyDescent="0.25">
      <c r="A203" s="46" t="s">
        <v>364</v>
      </c>
      <c r="B203" s="7">
        <v>37318</v>
      </c>
      <c r="C203" s="7">
        <v>47607</v>
      </c>
      <c r="D203" s="3">
        <f t="shared" si="7"/>
        <v>10289</v>
      </c>
    </row>
    <row r="204" spans="1:4" ht="15" x14ac:dyDescent="0.25">
      <c r="A204" s="46" t="s">
        <v>293</v>
      </c>
      <c r="B204" s="7">
        <v>37574</v>
      </c>
      <c r="C204" s="7">
        <v>47872</v>
      </c>
      <c r="D204" s="3">
        <f t="shared" si="7"/>
        <v>10298</v>
      </c>
    </row>
    <row r="205" spans="1:4" ht="15" x14ac:dyDescent="0.25">
      <c r="A205" s="46" t="s">
        <v>310</v>
      </c>
      <c r="B205" s="7">
        <v>37603</v>
      </c>
      <c r="C205" s="7">
        <v>47897</v>
      </c>
      <c r="D205" s="3">
        <f t="shared" si="7"/>
        <v>10294</v>
      </c>
    </row>
    <row r="206" spans="1:4" ht="15" x14ac:dyDescent="0.25">
      <c r="A206" s="46" t="s">
        <v>364</v>
      </c>
      <c r="B206" s="7">
        <v>37659</v>
      </c>
      <c r="C206" s="7">
        <v>47958</v>
      </c>
      <c r="D206" s="3">
        <f t="shared" si="7"/>
        <v>10299</v>
      </c>
    </row>
    <row r="207" spans="1:4" ht="15" x14ac:dyDescent="0.25">
      <c r="A207" s="46" t="s">
        <v>250</v>
      </c>
      <c r="B207" s="7">
        <v>37993</v>
      </c>
      <c r="C207" s="7">
        <v>48291</v>
      </c>
      <c r="D207" s="3">
        <f t="shared" si="7"/>
        <v>10298</v>
      </c>
    </row>
    <row r="208" spans="1:4" ht="15" x14ac:dyDescent="0.25">
      <c r="A208" s="46" t="s">
        <v>33</v>
      </c>
      <c r="B208" s="7">
        <v>38090</v>
      </c>
      <c r="C208" s="7">
        <v>48390</v>
      </c>
      <c r="D208" s="3">
        <f t="shared" si="7"/>
        <v>10300</v>
      </c>
    </row>
    <row r="209" spans="1:4" ht="15" x14ac:dyDescent="0.25">
      <c r="A209" s="46" t="s">
        <v>365</v>
      </c>
      <c r="B209" s="7">
        <v>38459</v>
      </c>
      <c r="C209" s="7">
        <v>49072</v>
      </c>
      <c r="D209" s="3">
        <f t="shared" si="7"/>
        <v>10613</v>
      </c>
    </row>
    <row r="210" spans="1:4" ht="15" x14ac:dyDescent="0.25">
      <c r="A210" s="46" t="s">
        <v>34</v>
      </c>
      <c r="B210" s="7">
        <v>38692</v>
      </c>
      <c r="C210" s="7">
        <v>49304</v>
      </c>
      <c r="D210" s="3">
        <f t="shared" si="7"/>
        <v>10612</v>
      </c>
    </row>
    <row r="211" spans="1:4" ht="15" x14ac:dyDescent="0.25">
      <c r="A211" s="46" t="s">
        <v>366</v>
      </c>
      <c r="B211" s="7">
        <v>39043</v>
      </c>
      <c r="C211" s="7">
        <v>49913</v>
      </c>
      <c r="D211" s="3">
        <f t="shared" si="7"/>
        <v>10870</v>
      </c>
    </row>
    <row r="212" spans="1:4" ht="15" x14ac:dyDescent="0.25">
      <c r="A212" s="46" t="s">
        <v>367</v>
      </c>
      <c r="B212" s="7">
        <v>39254</v>
      </c>
      <c r="C212" s="7">
        <v>50126</v>
      </c>
      <c r="D212" s="3">
        <f t="shared" si="7"/>
        <v>10872</v>
      </c>
    </row>
    <row r="213" spans="1:4" ht="15" x14ac:dyDescent="0.25">
      <c r="A213" s="46" t="s">
        <v>249</v>
      </c>
      <c r="B213" s="7">
        <v>39424</v>
      </c>
      <c r="C213" s="7">
        <v>50296</v>
      </c>
      <c r="D213" s="3">
        <f t="shared" si="7"/>
        <v>10872</v>
      </c>
    </row>
    <row r="214" spans="1:4" ht="15" x14ac:dyDescent="0.25">
      <c r="A214" s="46" t="s">
        <v>248</v>
      </c>
      <c r="B214" s="7">
        <v>39488</v>
      </c>
      <c r="C214" s="7">
        <v>50360</v>
      </c>
      <c r="D214" s="3">
        <f t="shared" si="7"/>
        <v>10872</v>
      </c>
    </row>
    <row r="215" spans="1:4" ht="15" x14ac:dyDescent="0.25">
      <c r="A215" s="46" t="s">
        <v>233</v>
      </c>
      <c r="B215" s="7">
        <v>39772</v>
      </c>
      <c r="C215" s="7">
        <v>50644</v>
      </c>
      <c r="D215" s="3">
        <f t="shared" si="7"/>
        <v>10872</v>
      </c>
    </row>
    <row r="216" spans="1:4" ht="15" x14ac:dyDescent="0.25">
      <c r="A216" s="46" t="s">
        <v>35</v>
      </c>
      <c r="B216" s="7">
        <v>40011</v>
      </c>
      <c r="C216" s="7">
        <v>50882</v>
      </c>
      <c r="D216" s="3">
        <f t="shared" si="7"/>
        <v>10871</v>
      </c>
    </row>
    <row r="217" spans="1:4" ht="15" x14ac:dyDescent="0.25">
      <c r="A217" s="46" t="s">
        <v>368</v>
      </c>
      <c r="B217" s="7">
        <v>40363</v>
      </c>
      <c r="C217" s="7">
        <v>51540</v>
      </c>
      <c r="D217" s="3">
        <f t="shared" si="7"/>
        <v>11177</v>
      </c>
    </row>
    <row r="218" spans="1:4" ht="15" x14ac:dyDescent="0.25">
      <c r="A218" s="47" t="s">
        <v>369</v>
      </c>
      <c r="B218" s="7">
        <v>40385</v>
      </c>
      <c r="C218" s="7">
        <v>51561</v>
      </c>
      <c r="D218" s="3">
        <f t="shared" si="7"/>
        <v>11176</v>
      </c>
    </row>
    <row r="219" spans="1:4" ht="15" x14ac:dyDescent="0.25">
      <c r="A219" s="47" t="s">
        <v>370</v>
      </c>
      <c r="B219" s="7">
        <v>40498</v>
      </c>
      <c r="C219" s="7">
        <v>51688</v>
      </c>
      <c r="D219" s="3">
        <f t="shared" si="7"/>
        <v>11190</v>
      </c>
    </row>
    <row r="220" spans="1:4" ht="15" x14ac:dyDescent="0.25">
      <c r="A220" s="47" t="s">
        <v>150</v>
      </c>
      <c r="B220" s="7">
        <v>40670</v>
      </c>
      <c r="C220" s="7">
        <v>51862</v>
      </c>
      <c r="D220" s="3">
        <f t="shared" si="7"/>
        <v>11192</v>
      </c>
    </row>
    <row r="221" spans="1:4" ht="15" x14ac:dyDescent="0.25">
      <c r="A221" s="47" t="s">
        <v>279</v>
      </c>
      <c r="B221" s="7">
        <v>40837</v>
      </c>
      <c r="C221" s="7">
        <v>52029</v>
      </c>
      <c r="D221" s="3">
        <f t="shared" si="7"/>
        <v>11192</v>
      </c>
    </row>
    <row r="222" spans="1:4" ht="15" x14ac:dyDescent="0.25">
      <c r="A222" s="47" t="s">
        <v>150</v>
      </c>
      <c r="B222" s="7">
        <v>40887</v>
      </c>
      <c r="C222" s="7">
        <v>52080</v>
      </c>
      <c r="D222" s="3">
        <f t="shared" si="7"/>
        <v>11193</v>
      </c>
    </row>
    <row r="223" spans="1:4" ht="15" x14ac:dyDescent="0.25">
      <c r="A223" s="47" t="s">
        <v>293</v>
      </c>
      <c r="B223" s="7">
        <v>40919</v>
      </c>
      <c r="C223" s="7"/>
      <c r="D223" s="3" t="str">
        <f t="shared" si="7"/>
        <v>-</v>
      </c>
    </row>
    <row r="224" spans="1:4" ht="15" x14ac:dyDescent="0.25">
      <c r="A224" s="47" t="s">
        <v>371</v>
      </c>
      <c r="B224" s="7">
        <v>41111</v>
      </c>
      <c r="C224" s="7">
        <v>52303</v>
      </c>
      <c r="D224" s="3">
        <f t="shared" si="7"/>
        <v>11192</v>
      </c>
    </row>
    <row r="225" spans="1:4" ht="15" x14ac:dyDescent="0.25">
      <c r="A225" s="47" t="s">
        <v>372</v>
      </c>
      <c r="B225" s="7">
        <v>41489</v>
      </c>
      <c r="C225" s="7">
        <v>52956</v>
      </c>
      <c r="D225" s="3">
        <f t="shared" si="7"/>
        <v>11467</v>
      </c>
    </row>
    <row r="226" spans="1:4" ht="15" x14ac:dyDescent="0.25">
      <c r="A226" s="47" t="s">
        <v>373</v>
      </c>
      <c r="B226" s="7">
        <v>41570</v>
      </c>
      <c r="C226" s="7">
        <v>53037</v>
      </c>
      <c r="D226" s="3">
        <f t="shared" si="7"/>
        <v>11467</v>
      </c>
    </row>
    <row r="227" spans="1:4" ht="15" x14ac:dyDescent="0.25">
      <c r="A227" s="47" t="s">
        <v>359</v>
      </c>
      <c r="B227" s="7">
        <v>41659</v>
      </c>
      <c r="C227" s="7">
        <v>53126</v>
      </c>
      <c r="D227" s="3">
        <f t="shared" si="7"/>
        <v>11467</v>
      </c>
    </row>
    <row r="228" spans="1:4" ht="15" x14ac:dyDescent="0.25">
      <c r="A228" s="47" t="s">
        <v>318</v>
      </c>
      <c r="B228" s="7">
        <v>41748</v>
      </c>
      <c r="C228" s="7">
        <v>53215</v>
      </c>
      <c r="D228" s="3">
        <f t="shared" si="7"/>
        <v>11467</v>
      </c>
    </row>
    <row r="229" spans="1:4" ht="15" x14ac:dyDescent="0.25">
      <c r="A229" s="47" t="s">
        <v>359</v>
      </c>
      <c r="B229" s="7">
        <v>41866</v>
      </c>
      <c r="C229" s="7">
        <v>53333</v>
      </c>
      <c r="D229" s="3">
        <f t="shared" si="7"/>
        <v>11467</v>
      </c>
    </row>
    <row r="230" spans="1:4" ht="15" x14ac:dyDescent="0.25">
      <c r="A230" s="47" t="s">
        <v>311</v>
      </c>
      <c r="B230" s="7">
        <v>41978</v>
      </c>
      <c r="C230" s="7">
        <v>53451</v>
      </c>
      <c r="D230" s="3">
        <f t="shared" si="7"/>
        <v>11473</v>
      </c>
    </row>
    <row r="231" spans="1:4" ht="15" x14ac:dyDescent="0.25">
      <c r="A231" s="47" t="s">
        <v>359</v>
      </c>
      <c r="B231" s="7">
        <v>42018</v>
      </c>
      <c r="C231" s="7">
        <v>53489</v>
      </c>
      <c r="D231" s="3">
        <f t="shared" si="7"/>
        <v>11471</v>
      </c>
    </row>
    <row r="232" spans="1:4" ht="15" x14ac:dyDescent="0.25">
      <c r="A232" s="47" t="s">
        <v>312</v>
      </c>
      <c r="B232" s="7">
        <v>42096</v>
      </c>
      <c r="C232" s="7">
        <v>53567</v>
      </c>
      <c r="D232" s="3">
        <f t="shared" si="7"/>
        <v>11471</v>
      </c>
    </row>
    <row r="233" spans="1:4" ht="15" x14ac:dyDescent="0.25">
      <c r="A233" s="47" t="s">
        <v>279</v>
      </c>
      <c r="B233" s="7">
        <v>42125</v>
      </c>
      <c r="C233" s="7">
        <v>53598</v>
      </c>
      <c r="D233" s="3">
        <f t="shared" si="7"/>
        <v>11473</v>
      </c>
    </row>
    <row r="234" spans="1:4" ht="15" x14ac:dyDescent="0.25">
      <c r="A234" s="47" t="s">
        <v>265</v>
      </c>
      <c r="B234" s="7">
        <v>42233</v>
      </c>
      <c r="C234" s="7">
        <v>53709</v>
      </c>
      <c r="D234" s="3">
        <f t="shared" si="7"/>
        <v>11476</v>
      </c>
    </row>
    <row r="235" spans="1:4" ht="15" x14ac:dyDescent="0.25">
      <c r="A235" s="47" t="s">
        <v>250</v>
      </c>
      <c r="B235" s="7">
        <v>42324</v>
      </c>
      <c r="C235" s="7">
        <v>53801</v>
      </c>
      <c r="D235" s="3">
        <f t="shared" si="7"/>
        <v>11477</v>
      </c>
    </row>
    <row r="236" spans="1:4" ht="15" x14ac:dyDescent="0.25">
      <c r="A236" t="s">
        <v>37</v>
      </c>
      <c r="B236" s="7">
        <v>42450</v>
      </c>
      <c r="C236" s="7">
        <v>53932</v>
      </c>
      <c r="D236" s="3">
        <f t="shared" si="7"/>
        <v>11482</v>
      </c>
    </row>
    <row r="237" spans="1:4" ht="15" x14ac:dyDescent="0.25">
      <c r="A237" s="47" t="s">
        <v>374</v>
      </c>
      <c r="B237" s="7">
        <v>42803</v>
      </c>
      <c r="C237" s="7">
        <v>54531</v>
      </c>
      <c r="D237" s="3">
        <f t="shared" si="7"/>
        <v>11728</v>
      </c>
    </row>
    <row r="238" spans="1:4" ht="15" x14ac:dyDescent="0.25">
      <c r="A238" s="47" t="s">
        <v>311</v>
      </c>
      <c r="B238" s="7">
        <v>42860</v>
      </c>
      <c r="C238" s="7">
        <v>54588</v>
      </c>
      <c r="D238" s="3">
        <f t="shared" si="7"/>
        <v>11728</v>
      </c>
    </row>
    <row r="239" spans="1:4" ht="15" x14ac:dyDescent="0.25">
      <c r="A239" s="47" t="s">
        <v>312</v>
      </c>
      <c r="B239" s="7">
        <v>42885</v>
      </c>
      <c r="C239" s="7">
        <v>54613</v>
      </c>
      <c r="D239" s="3">
        <f t="shared" si="7"/>
        <v>11728</v>
      </c>
    </row>
    <row r="240" spans="1:4" ht="15" x14ac:dyDescent="0.25">
      <c r="A240" s="47" t="s">
        <v>279</v>
      </c>
      <c r="B240" s="7">
        <v>42913</v>
      </c>
      <c r="C240" s="7">
        <v>54641</v>
      </c>
      <c r="D240" s="3">
        <f t="shared" si="7"/>
        <v>11728</v>
      </c>
    </row>
    <row r="241" spans="1:4" ht="15" x14ac:dyDescent="0.25">
      <c r="A241" s="47" t="s">
        <v>150</v>
      </c>
      <c r="B241" s="7">
        <v>42933</v>
      </c>
      <c r="C241" s="7">
        <v>54661</v>
      </c>
      <c r="D241" s="3">
        <f t="shared" si="7"/>
        <v>11728</v>
      </c>
    </row>
    <row r="242" spans="1:4" ht="15" x14ac:dyDescent="0.25">
      <c r="A242" s="47" t="s">
        <v>150</v>
      </c>
      <c r="B242" s="7">
        <v>42966</v>
      </c>
      <c r="C242" s="7">
        <v>54693</v>
      </c>
      <c r="D242" s="3">
        <f t="shared" si="7"/>
        <v>11727</v>
      </c>
    </row>
    <row r="243" spans="1:4" ht="15" x14ac:dyDescent="0.25">
      <c r="A243" s="47" t="s">
        <v>150</v>
      </c>
      <c r="B243" s="7">
        <v>43005</v>
      </c>
      <c r="C243" s="7">
        <v>54732</v>
      </c>
      <c r="D243" s="3">
        <f t="shared" si="7"/>
        <v>11727</v>
      </c>
    </row>
    <row r="244" spans="1:4" ht="15" x14ac:dyDescent="0.25">
      <c r="A244" s="47" t="s">
        <v>302</v>
      </c>
      <c r="B244" s="7">
        <v>43039</v>
      </c>
      <c r="C244" s="7">
        <v>54766</v>
      </c>
      <c r="D244" s="3">
        <f t="shared" si="7"/>
        <v>11727</v>
      </c>
    </row>
    <row r="245" spans="1:4" ht="15" x14ac:dyDescent="0.25">
      <c r="A245" s="47" t="s">
        <v>249</v>
      </c>
      <c r="B245" s="7">
        <v>43054</v>
      </c>
      <c r="C245" s="7">
        <v>54780</v>
      </c>
      <c r="D245" s="3">
        <f t="shared" si="7"/>
        <v>11726</v>
      </c>
    </row>
    <row r="246" spans="1:4" ht="15" x14ac:dyDescent="0.25">
      <c r="A246" s="47" t="s">
        <v>38</v>
      </c>
      <c r="B246" s="7">
        <v>43143</v>
      </c>
      <c r="C246" s="7">
        <v>54875</v>
      </c>
      <c r="D246" s="3">
        <f t="shared" si="7"/>
        <v>11732</v>
      </c>
    </row>
    <row r="247" spans="1:4" ht="15" x14ac:dyDescent="0.25">
      <c r="A247" s="47" t="s">
        <v>375</v>
      </c>
      <c r="B247" s="7">
        <v>43493</v>
      </c>
      <c r="C247" s="7">
        <v>55525</v>
      </c>
      <c r="D247" s="3">
        <f t="shared" si="7"/>
        <v>12032</v>
      </c>
    </row>
    <row r="248" spans="1:4" ht="15" x14ac:dyDescent="0.25">
      <c r="A248" s="47" t="s">
        <v>306</v>
      </c>
      <c r="B248" s="7">
        <v>43501</v>
      </c>
      <c r="C248" s="7">
        <v>55533</v>
      </c>
      <c r="D248" s="3">
        <f t="shared" si="7"/>
        <v>12032</v>
      </c>
    </row>
    <row r="249" spans="1:4" ht="15" x14ac:dyDescent="0.25">
      <c r="A249" s="47" t="s">
        <v>319</v>
      </c>
      <c r="B249" s="7">
        <v>43529</v>
      </c>
      <c r="C249" s="7">
        <v>55569</v>
      </c>
      <c r="D249" s="3">
        <f t="shared" si="7"/>
        <v>12040</v>
      </c>
    </row>
    <row r="250" spans="1:4" ht="15" x14ac:dyDescent="0.25">
      <c r="A250" s="47" t="s">
        <v>311</v>
      </c>
      <c r="B250" s="7">
        <v>43584</v>
      </c>
      <c r="C250" s="7">
        <v>55669</v>
      </c>
      <c r="D250" s="3">
        <f t="shared" si="7"/>
        <v>12085</v>
      </c>
    </row>
    <row r="251" spans="1:4" ht="15" x14ac:dyDescent="0.25">
      <c r="A251" s="47" t="s">
        <v>312</v>
      </c>
      <c r="B251" s="7">
        <v>43622</v>
      </c>
      <c r="C251" s="7">
        <v>55702</v>
      </c>
      <c r="D251" s="3">
        <f t="shared" si="7"/>
        <v>12080</v>
      </c>
    </row>
    <row r="252" spans="1:4" ht="15" x14ac:dyDescent="0.25">
      <c r="A252" s="47" t="s">
        <v>279</v>
      </c>
      <c r="B252" s="7">
        <v>43664</v>
      </c>
      <c r="C252" s="7">
        <v>55744</v>
      </c>
      <c r="D252" s="3">
        <f t="shared" si="7"/>
        <v>12080</v>
      </c>
    </row>
    <row r="253" spans="1:4" ht="15" x14ac:dyDescent="0.25">
      <c r="A253" s="47" t="s">
        <v>293</v>
      </c>
      <c r="B253" s="7">
        <v>43782</v>
      </c>
      <c r="C253" s="7">
        <v>55865</v>
      </c>
      <c r="D253" s="3">
        <f t="shared" si="7"/>
        <v>12083</v>
      </c>
    </row>
    <row r="254" spans="1:4" ht="15" x14ac:dyDescent="0.25">
      <c r="A254" s="47" t="s">
        <v>247</v>
      </c>
      <c r="B254" s="7">
        <v>43825</v>
      </c>
      <c r="C254" s="7">
        <v>55908</v>
      </c>
      <c r="D254" s="3">
        <f t="shared" si="7"/>
        <v>12083</v>
      </c>
    </row>
    <row r="255" spans="1:4" ht="15" x14ac:dyDescent="0.25">
      <c r="A255" s="47" t="s">
        <v>302</v>
      </c>
      <c r="B255" s="7">
        <v>43947</v>
      </c>
      <c r="C255" s="7">
        <v>56048</v>
      </c>
      <c r="D255" s="3">
        <f t="shared" si="7"/>
        <v>12101</v>
      </c>
    </row>
    <row r="256" spans="1:4" ht="15" x14ac:dyDescent="0.25">
      <c r="A256" s="47" t="s">
        <v>249</v>
      </c>
      <c r="B256" s="7">
        <v>43992</v>
      </c>
      <c r="C256" s="7">
        <v>56077</v>
      </c>
      <c r="D256" s="3">
        <f t="shared" si="7"/>
        <v>12085</v>
      </c>
    </row>
    <row r="257" spans="1:4" ht="15" x14ac:dyDescent="0.25">
      <c r="A257" s="47" t="s">
        <v>39</v>
      </c>
      <c r="B257" s="7">
        <v>44163</v>
      </c>
      <c r="C257" s="7">
        <v>56197</v>
      </c>
      <c r="D257" s="3">
        <f t="shared" si="7"/>
        <v>12034</v>
      </c>
    </row>
    <row r="258" spans="1:4" ht="15" x14ac:dyDescent="0.25">
      <c r="A258" s="47" t="s">
        <v>376</v>
      </c>
      <c r="B258" s="7">
        <v>44514</v>
      </c>
      <c r="C258" s="7">
        <v>56805</v>
      </c>
      <c r="D258" s="3">
        <f t="shared" si="7"/>
        <v>12291</v>
      </c>
    </row>
    <row r="259" spans="1:4" ht="15" x14ac:dyDescent="0.25">
      <c r="A259" s="48" t="s">
        <v>306</v>
      </c>
      <c r="B259" s="7">
        <v>44587</v>
      </c>
      <c r="C259" s="7">
        <v>56878</v>
      </c>
      <c r="D259" s="3">
        <f t="shared" si="7"/>
        <v>12291</v>
      </c>
    </row>
    <row r="260" spans="1:4" ht="15" x14ac:dyDescent="0.25">
      <c r="A260" s="48" t="s">
        <v>265</v>
      </c>
      <c r="B260" s="7">
        <v>44670</v>
      </c>
      <c r="C260" s="7">
        <v>56962</v>
      </c>
      <c r="D260" s="3">
        <f t="shared" si="7"/>
        <v>12292</v>
      </c>
    </row>
    <row r="261" spans="1:4" ht="15" x14ac:dyDescent="0.25">
      <c r="A261" s="48" t="s">
        <v>312</v>
      </c>
      <c r="B261" s="7">
        <v>44732</v>
      </c>
      <c r="C261" s="7">
        <v>57026</v>
      </c>
      <c r="D261" s="3">
        <f t="shared" si="7"/>
        <v>12294</v>
      </c>
    </row>
    <row r="262" spans="1:4" ht="15" x14ac:dyDescent="0.25">
      <c r="A262" s="48" t="s">
        <v>279</v>
      </c>
      <c r="B262" s="7">
        <v>44782</v>
      </c>
      <c r="C262" s="7">
        <v>57076</v>
      </c>
      <c r="D262" s="3">
        <f t="shared" si="7"/>
        <v>12294</v>
      </c>
    </row>
    <row r="263" spans="1:4" ht="15" x14ac:dyDescent="0.25">
      <c r="A263" s="48" t="s">
        <v>293</v>
      </c>
      <c r="B263" s="7">
        <v>44820</v>
      </c>
      <c r="C263" s="7">
        <v>57112</v>
      </c>
      <c r="D263" s="3">
        <f t="shared" si="7"/>
        <v>12292</v>
      </c>
    </row>
    <row r="264" spans="1:4" ht="15" x14ac:dyDescent="0.25">
      <c r="A264" s="48" t="s">
        <v>310</v>
      </c>
      <c r="B264" s="7">
        <v>44885</v>
      </c>
      <c r="C264" s="7">
        <v>57179</v>
      </c>
      <c r="D264" s="3">
        <f t="shared" si="7"/>
        <v>12294</v>
      </c>
    </row>
    <row r="265" spans="1:4" ht="15" x14ac:dyDescent="0.25">
      <c r="A265" s="48" t="s">
        <v>250</v>
      </c>
      <c r="B265" s="7">
        <v>45023</v>
      </c>
      <c r="C265" s="7">
        <v>57317</v>
      </c>
      <c r="D265" s="3">
        <f t="shared" si="7"/>
        <v>12294</v>
      </c>
    </row>
    <row r="266" spans="1:4" ht="15" x14ac:dyDescent="0.25">
      <c r="A266" s="47" t="s">
        <v>40</v>
      </c>
      <c r="B266" s="7">
        <v>45060</v>
      </c>
      <c r="C266" s="7">
        <v>57354</v>
      </c>
      <c r="D266" s="3">
        <f t="shared" si="7"/>
        <v>12294</v>
      </c>
    </row>
    <row r="267" spans="1:4" ht="15" x14ac:dyDescent="0.25">
      <c r="A267" s="47" t="s">
        <v>377</v>
      </c>
      <c r="B267" s="7">
        <v>45409</v>
      </c>
      <c r="C267" s="7">
        <v>57998</v>
      </c>
      <c r="D267" s="3">
        <f t="shared" si="7"/>
        <v>12589</v>
      </c>
    </row>
    <row r="268" spans="1:4" ht="15" x14ac:dyDescent="0.25">
      <c r="A268" s="48" t="s">
        <v>306</v>
      </c>
      <c r="B268" s="7">
        <v>45452</v>
      </c>
      <c r="C268" s="7">
        <v>58041</v>
      </c>
      <c r="D268" s="3">
        <f t="shared" si="7"/>
        <v>12589</v>
      </c>
    </row>
    <row r="269" spans="1:4" ht="15" x14ac:dyDescent="0.25">
      <c r="A269" s="48" t="s">
        <v>319</v>
      </c>
      <c r="B269" s="7">
        <v>45494</v>
      </c>
      <c r="C269" s="7">
        <v>58083</v>
      </c>
      <c r="D269" s="3">
        <f t="shared" si="7"/>
        <v>12589</v>
      </c>
    </row>
    <row r="270" spans="1:4" ht="15" x14ac:dyDescent="0.25">
      <c r="A270" s="48" t="s">
        <v>311</v>
      </c>
      <c r="B270" s="7">
        <v>45516</v>
      </c>
      <c r="C270" s="7">
        <v>58104</v>
      </c>
      <c r="D270" s="3">
        <f t="shared" si="7"/>
        <v>12588</v>
      </c>
    </row>
    <row r="271" spans="1:4" ht="15" x14ac:dyDescent="0.25">
      <c r="A271" s="48" t="s">
        <v>150</v>
      </c>
      <c r="B271" s="7">
        <v>45534</v>
      </c>
      <c r="C271" s="7">
        <v>58122</v>
      </c>
      <c r="D271" s="3">
        <f t="shared" si="7"/>
        <v>12588</v>
      </c>
    </row>
    <row r="272" spans="1:4" ht="15" x14ac:dyDescent="0.25">
      <c r="A272" s="48" t="s">
        <v>233</v>
      </c>
      <c r="B272" s="7">
        <v>45618</v>
      </c>
      <c r="C272" s="7">
        <v>58208</v>
      </c>
      <c r="D272" s="3">
        <f t="shared" si="7"/>
        <v>12590</v>
      </c>
    </row>
    <row r="273" spans="1:4" ht="15" x14ac:dyDescent="0.25">
      <c r="A273" s="48" t="s">
        <v>382</v>
      </c>
      <c r="B273" s="7">
        <v>45680</v>
      </c>
      <c r="C273" s="7">
        <v>58263</v>
      </c>
      <c r="D273" s="3">
        <f t="shared" si="7"/>
        <v>12583</v>
      </c>
    </row>
    <row r="274" spans="1:4" ht="15" x14ac:dyDescent="0.25">
      <c r="A274" s="47" t="s">
        <v>41</v>
      </c>
      <c r="B274" s="7">
        <v>45990</v>
      </c>
      <c r="C274" s="7">
        <v>58570</v>
      </c>
      <c r="D274" s="3">
        <f t="shared" si="7"/>
        <v>12580</v>
      </c>
    </row>
    <row r="275" spans="1:4" ht="15" x14ac:dyDescent="0.25">
      <c r="A275" s="47" t="s">
        <v>378</v>
      </c>
      <c r="B275" s="7">
        <v>46652</v>
      </c>
      <c r="C275" s="7">
        <v>59229</v>
      </c>
      <c r="D275" s="3">
        <f t="shared" si="7"/>
        <v>12577</v>
      </c>
    </row>
    <row r="276" spans="1:4" ht="15" x14ac:dyDescent="0.25">
      <c r="A276" s="49" t="s">
        <v>265</v>
      </c>
      <c r="B276" s="7">
        <v>46671</v>
      </c>
      <c r="C276" s="7">
        <v>59247</v>
      </c>
      <c r="D276" s="3">
        <f t="shared" si="7"/>
        <v>12576</v>
      </c>
    </row>
    <row r="277" spans="1:4" ht="15" x14ac:dyDescent="0.25">
      <c r="A277" s="49" t="s">
        <v>356</v>
      </c>
      <c r="B277" s="7">
        <v>46702</v>
      </c>
      <c r="C277" s="7">
        <v>59276</v>
      </c>
      <c r="D277" s="3">
        <f t="shared" si="7"/>
        <v>12574</v>
      </c>
    </row>
    <row r="278" spans="1:4" ht="15" x14ac:dyDescent="0.25">
      <c r="A278" s="49" t="s">
        <v>150</v>
      </c>
      <c r="B278" s="7">
        <v>46739</v>
      </c>
      <c r="C278" s="7">
        <v>59316</v>
      </c>
      <c r="D278" s="3">
        <f t="shared" si="7"/>
        <v>12577</v>
      </c>
    </row>
    <row r="279" spans="1:4" ht="15" x14ac:dyDescent="0.25">
      <c r="A279" s="49" t="s">
        <v>150</v>
      </c>
      <c r="B279" s="7">
        <v>46769</v>
      </c>
      <c r="C279" s="7">
        <v>59346</v>
      </c>
      <c r="D279" s="3">
        <f t="shared" si="7"/>
        <v>12577</v>
      </c>
    </row>
    <row r="280" spans="1:4" ht="15" x14ac:dyDescent="0.25">
      <c r="A280" s="49" t="s">
        <v>150</v>
      </c>
      <c r="B280" s="7">
        <v>46840</v>
      </c>
      <c r="C280" s="7">
        <v>59417</v>
      </c>
      <c r="D280" s="3">
        <f t="shared" si="7"/>
        <v>12577</v>
      </c>
    </row>
    <row r="281" spans="1:4" ht="15" x14ac:dyDescent="0.25">
      <c r="A281" s="49" t="s">
        <v>383</v>
      </c>
      <c r="B281" s="7">
        <v>46914</v>
      </c>
      <c r="C281" s="7">
        <v>59491</v>
      </c>
      <c r="D281" s="3">
        <f t="shared" si="7"/>
        <v>12577</v>
      </c>
    </row>
    <row r="282" spans="1:4" ht="15" x14ac:dyDescent="0.25">
      <c r="A282" s="49" t="s">
        <v>265</v>
      </c>
      <c r="B282" s="7">
        <v>46978</v>
      </c>
      <c r="C282" s="7">
        <v>59555</v>
      </c>
      <c r="D282" s="3">
        <f t="shared" si="7"/>
        <v>12577</v>
      </c>
    </row>
    <row r="283" spans="1:4" ht="15" x14ac:dyDescent="0.25">
      <c r="A283" s="49"/>
      <c r="B283" s="7">
        <v>46989</v>
      </c>
      <c r="C283" s="7">
        <v>59566</v>
      </c>
      <c r="D283" s="3">
        <f t="shared" si="7"/>
        <v>12577</v>
      </c>
    </row>
    <row r="284" spans="1:4" ht="15" x14ac:dyDescent="0.25">
      <c r="A284" s="49" t="s">
        <v>384</v>
      </c>
      <c r="B284" s="7">
        <v>46992</v>
      </c>
      <c r="C284" s="7">
        <v>59568</v>
      </c>
      <c r="D284" s="3">
        <f t="shared" si="7"/>
        <v>12576</v>
      </c>
    </row>
    <row r="285" spans="1:4" ht="15" x14ac:dyDescent="0.25">
      <c r="A285" s="49" t="s">
        <v>279</v>
      </c>
      <c r="B285" s="7">
        <v>47024</v>
      </c>
      <c r="C285" s="7">
        <v>59601</v>
      </c>
      <c r="D285" s="3">
        <f t="shared" si="7"/>
        <v>12577</v>
      </c>
    </row>
    <row r="286" spans="1:4" ht="15" x14ac:dyDescent="0.25">
      <c r="A286" s="49" t="s">
        <v>265</v>
      </c>
      <c r="B286" s="7">
        <v>47045</v>
      </c>
      <c r="C286" s="7">
        <v>59622</v>
      </c>
      <c r="D286" s="3">
        <f t="shared" si="7"/>
        <v>12577</v>
      </c>
    </row>
    <row r="287" spans="1:4" ht="15" x14ac:dyDescent="0.25">
      <c r="A287" s="49" t="s">
        <v>247</v>
      </c>
      <c r="B287" s="7">
        <v>47180</v>
      </c>
      <c r="C287" s="7">
        <v>59757</v>
      </c>
      <c r="D287" s="3">
        <f t="shared" si="7"/>
        <v>12577</v>
      </c>
    </row>
    <row r="288" spans="1:4" ht="15" x14ac:dyDescent="0.25">
      <c r="A288" s="47" t="s">
        <v>42</v>
      </c>
      <c r="B288" s="7">
        <v>47433</v>
      </c>
      <c r="C288" s="7">
        <v>60018</v>
      </c>
      <c r="D288" s="3">
        <f t="shared" si="7"/>
        <v>12585</v>
      </c>
    </row>
    <row r="289" spans="1:4" ht="15" x14ac:dyDescent="0.25">
      <c r="A289" s="47" t="s">
        <v>379</v>
      </c>
      <c r="B289" s="7">
        <v>47788</v>
      </c>
      <c r="C289" s="7">
        <v>60667</v>
      </c>
      <c r="D289" s="3">
        <f t="shared" si="7"/>
        <v>12879</v>
      </c>
    </row>
    <row r="290" spans="1:4" ht="15" x14ac:dyDescent="0.25">
      <c r="A290" s="49" t="s">
        <v>385</v>
      </c>
      <c r="B290" s="7">
        <v>47875</v>
      </c>
      <c r="C290" s="7">
        <v>60754</v>
      </c>
      <c r="D290" s="3">
        <f t="shared" si="7"/>
        <v>12879</v>
      </c>
    </row>
    <row r="291" spans="1:4" ht="15" x14ac:dyDescent="0.25">
      <c r="A291" s="49" t="s">
        <v>265</v>
      </c>
      <c r="B291" s="7">
        <v>48069</v>
      </c>
      <c r="C291" s="7">
        <v>60951</v>
      </c>
      <c r="D291" s="3">
        <f t="shared" si="7"/>
        <v>12882</v>
      </c>
    </row>
    <row r="292" spans="1:4" ht="15" x14ac:dyDescent="0.25">
      <c r="A292" s="47" t="s">
        <v>43</v>
      </c>
      <c r="B292" s="7">
        <v>48337</v>
      </c>
      <c r="C292" s="7">
        <v>61224</v>
      </c>
      <c r="D292" s="3">
        <f t="shared" si="7"/>
        <v>12887</v>
      </c>
    </row>
    <row r="293" spans="1:4" ht="15" x14ac:dyDescent="0.25">
      <c r="A293" s="47" t="s">
        <v>380</v>
      </c>
      <c r="B293" s="7">
        <v>48689</v>
      </c>
      <c r="C293" s="7">
        <v>61892</v>
      </c>
      <c r="D293" s="3">
        <f t="shared" si="7"/>
        <v>13203</v>
      </c>
    </row>
    <row r="294" spans="1:4" ht="15" x14ac:dyDescent="0.25">
      <c r="A294" s="49" t="s">
        <v>386</v>
      </c>
      <c r="B294" s="7">
        <v>48926</v>
      </c>
      <c r="C294" s="7">
        <v>62177</v>
      </c>
      <c r="D294" s="3">
        <f t="shared" si="7"/>
        <v>13251</v>
      </c>
    </row>
    <row r="295" spans="1:4" ht="15" x14ac:dyDescent="0.25">
      <c r="A295" s="49" t="s">
        <v>150</v>
      </c>
      <c r="B295" s="7">
        <v>49027</v>
      </c>
      <c r="C295" s="7">
        <v>62280</v>
      </c>
      <c r="D295" s="3">
        <f t="shared" si="7"/>
        <v>13253</v>
      </c>
    </row>
    <row r="296" spans="1:4" ht="15" x14ac:dyDescent="0.25">
      <c r="A296" s="49" t="s">
        <v>265</v>
      </c>
      <c r="B296" s="7">
        <v>49118</v>
      </c>
      <c r="C296" s="7">
        <v>62371</v>
      </c>
      <c r="D296" s="3">
        <f t="shared" si="7"/>
        <v>13253</v>
      </c>
    </row>
    <row r="297" spans="1:4" ht="15" x14ac:dyDescent="0.25">
      <c r="A297" s="47" t="s">
        <v>44</v>
      </c>
      <c r="B297" s="7">
        <v>49331</v>
      </c>
      <c r="C297" s="7">
        <v>62616</v>
      </c>
      <c r="D297" s="3">
        <f t="shared" si="7"/>
        <v>13285</v>
      </c>
    </row>
    <row r="298" spans="1:4" ht="15" x14ac:dyDescent="0.25">
      <c r="A298" s="47" t="s">
        <v>381</v>
      </c>
      <c r="B298" s="7">
        <v>49685</v>
      </c>
      <c r="C298" s="7">
        <v>63244</v>
      </c>
      <c r="D298" s="3">
        <f t="shared" si="7"/>
        <v>13559</v>
      </c>
    </row>
    <row r="299" spans="1:4" ht="15" x14ac:dyDescent="0.25">
      <c r="A299" s="47" t="s">
        <v>26</v>
      </c>
      <c r="B299" s="7">
        <v>50244</v>
      </c>
      <c r="C299" s="7">
        <v>63782</v>
      </c>
      <c r="D299" s="3">
        <f t="shared" si="7"/>
        <v>13538</v>
      </c>
    </row>
    <row r="300" spans="1:4" ht="15" x14ac:dyDescent="0.25">
      <c r="B300" s="7"/>
      <c r="C300" s="7"/>
    </row>
    <row r="301" spans="1:4" ht="15" x14ac:dyDescent="0.25">
      <c r="B301" s="7"/>
      <c r="C301" s="7"/>
    </row>
    <row r="302" spans="1:4" ht="15" x14ac:dyDescent="0.25">
      <c r="B302" s="7"/>
      <c r="C302" s="7"/>
    </row>
    <row r="303" spans="1:4" ht="15" x14ac:dyDescent="0.25">
      <c r="B303" s="7"/>
      <c r="C303" s="7"/>
    </row>
    <row r="304" spans="1:4" ht="15" x14ac:dyDescent="0.25">
      <c r="B304" s="7"/>
      <c r="C304" s="7"/>
    </row>
    <row r="305" spans="1:5" ht="15" x14ac:dyDescent="0.25">
      <c r="A305" t="s">
        <v>387</v>
      </c>
      <c r="B305" s="7"/>
      <c r="C305" s="7"/>
      <c r="E305">
        <f>D305*50</f>
        <v>0</v>
      </c>
    </row>
    <row r="306" spans="1:5" ht="15" x14ac:dyDescent="0.25">
      <c r="A306" t="s">
        <v>425</v>
      </c>
      <c r="B306" s="7">
        <v>48774</v>
      </c>
      <c r="C306" s="7">
        <v>63244</v>
      </c>
      <c r="D306" s="3">
        <f t="shared" ref="D306:D309" si="8">IF(C306&lt;&gt;"",IF(B306&lt;&gt;"",C306-B306,"-"), "-")</f>
        <v>14470</v>
      </c>
    </row>
    <row r="307" spans="1:5" ht="15" x14ac:dyDescent="0.25">
      <c r="A307" t="s">
        <v>426</v>
      </c>
      <c r="B307" s="7">
        <v>48863</v>
      </c>
      <c r="C307" s="7">
        <v>63333</v>
      </c>
      <c r="D307" s="3">
        <f t="shared" si="8"/>
        <v>14470</v>
      </c>
    </row>
    <row r="308" spans="1:5" ht="15" x14ac:dyDescent="0.25">
      <c r="A308" t="s">
        <v>426</v>
      </c>
      <c r="B308" s="7">
        <v>48913</v>
      </c>
      <c r="C308" s="7">
        <v>63383</v>
      </c>
      <c r="D308" s="3">
        <f t="shared" si="8"/>
        <v>14470</v>
      </c>
    </row>
    <row r="309" spans="1:5" ht="15" x14ac:dyDescent="0.25">
      <c r="B309" s="7">
        <v>49338</v>
      </c>
      <c r="C309" s="7">
        <v>63782</v>
      </c>
      <c r="D309" s="3">
        <f t="shared" si="8"/>
        <v>14444</v>
      </c>
    </row>
    <row r="310" spans="1:5" ht="15" x14ac:dyDescent="0.25">
      <c r="B310" s="7"/>
      <c r="C310" s="7"/>
    </row>
    <row r="311" spans="1:5" ht="15" x14ac:dyDescent="0.25">
      <c r="B311" s="7"/>
      <c r="C311" s="7"/>
    </row>
    <row r="312" spans="1:5" ht="15" x14ac:dyDescent="0.25">
      <c r="B312" s="7"/>
      <c r="C312" s="7"/>
    </row>
    <row r="313" spans="1:5" ht="15" x14ac:dyDescent="0.25">
      <c r="B313" s="7"/>
      <c r="C313" s="7"/>
    </row>
    <row r="314" spans="1:5" ht="15" x14ac:dyDescent="0.25">
      <c r="B314" s="7"/>
      <c r="C314" s="7"/>
    </row>
    <row r="315" spans="1:5" ht="15" x14ac:dyDescent="0.25">
      <c r="B315" s="7"/>
      <c r="C315" s="7"/>
    </row>
    <row r="316" spans="1:5" ht="15" x14ac:dyDescent="0.25">
      <c r="B316" s="7"/>
      <c r="C316" s="7"/>
    </row>
    <row r="317" spans="1:5" ht="15" x14ac:dyDescent="0.25">
      <c r="B317" s="7"/>
      <c r="C317" s="7"/>
    </row>
    <row r="318" spans="1:5" ht="15" x14ac:dyDescent="0.25">
      <c r="B318" s="7"/>
      <c r="C318" s="7"/>
    </row>
    <row r="319" spans="1:5" ht="15" x14ac:dyDescent="0.25">
      <c r="B319" s="7"/>
      <c r="C319" s="7"/>
    </row>
    <row r="320" spans="1:5" ht="15" x14ac:dyDescent="0.25">
      <c r="B320" s="7"/>
      <c r="C320" s="7"/>
    </row>
    <row r="321" spans="2:3" ht="15" x14ac:dyDescent="0.25">
      <c r="B321" s="7"/>
      <c r="C321" s="7"/>
    </row>
    <row r="322" spans="2:3" ht="15" x14ac:dyDescent="0.25">
      <c r="B322" s="7"/>
      <c r="C322" s="7"/>
    </row>
    <row r="323" spans="2:3" ht="15" x14ac:dyDescent="0.25">
      <c r="B323" s="7"/>
      <c r="C323" s="7"/>
    </row>
    <row r="324" spans="2:3" ht="15" x14ac:dyDescent="0.25">
      <c r="B324" s="7"/>
      <c r="C324" s="7"/>
    </row>
    <row r="325" spans="2:3" ht="15" x14ac:dyDescent="0.25">
      <c r="B325" s="7"/>
      <c r="C325" s="7"/>
    </row>
    <row r="326" spans="2:3" ht="15" x14ac:dyDescent="0.25">
      <c r="B326" s="7"/>
      <c r="C326" s="7"/>
    </row>
    <row r="327" spans="2:3" ht="15" x14ac:dyDescent="0.25">
      <c r="B327" s="7"/>
      <c r="C327" s="7"/>
    </row>
    <row r="328" spans="2:3" ht="15" x14ac:dyDescent="0.25">
      <c r="B328" s="7"/>
      <c r="C328" s="7"/>
    </row>
    <row r="329" spans="2:3" ht="15" x14ac:dyDescent="0.25">
      <c r="B329" s="7"/>
      <c r="C329" s="7"/>
    </row>
    <row r="330" spans="2:3" ht="15" x14ac:dyDescent="0.25">
      <c r="B330" s="7"/>
      <c r="C330" s="7"/>
    </row>
    <row r="331" spans="2:3" ht="15" x14ac:dyDescent="0.25">
      <c r="B331" s="7"/>
      <c r="C331" s="7"/>
    </row>
    <row r="332" spans="2:3" ht="15" x14ac:dyDescent="0.25">
      <c r="B332" s="7"/>
      <c r="C332" s="7"/>
    </row>
    <row r="333" spans="2:3" ht="15" x14ac:dyDescent="0.25">
      <c r="B333" s="7"/>
      <c r="C333" s="7"/>
    </row>
    <row r="334" spans="2:3" ht="15" x14ac:dyDescent="0.25">
      <c r="B334" s="7"/>
      <c r="C334" s="7"/>
    </row>
    <row r="335" spans="2:3" ht="15" x14ac:dyDescent="0.25">
      <c r="B335" s="7"/>
      <c r="C335" s="7"/>
    </row>
    <row r="336" spans="2:3" ht="15" x14ac:dyDescent="0.25">
      <c r="B336" s="7"/>
      <c r="C336" s="7"/>
    </row>
    <row r="337" spans="2:3" ht="15" x14ac:dyDescent="0.25">
      <c r="B337" s="7"/>
      <c r="C337" s="7"/>
    </row>
    <row r="338" spans="2:3" ht="15" x14ac:dyDescent="0.25">
      <c r="B338" s="7"/>
      <c r="C338" s="7"/>
    </row>
    <row r="339" spans="2:3" ht="15" x14ac:dyDescent="0.25">
      <c r="B339" s="7"/>
      <c r="C339" s="7"/>
    </row>
    <row r="340" spans="2:3" ht="15" x14ac:dyDescent="0.25">
      <c r="B340" s="7"/>
      <c r="C340" s="7"/>
    </row>
    <row r="341" spans="2:3" ht="15" x14ac:dyDescent="0.25">
      <c r="B341" s="7"/>
      <c r="C341" s="7"/>
    </row>
    <row r="342" spans="2:3" ht="15" x14ac:dyDescent="0.25">
      <c r="B342" s="7"/>
      <c r="C342" s="7"/>
    </row>
    <row r="343" spans="2:3" ht="15" x14ac:dyDescent="0.25">
      <c r="B343" s="7"/>
      <c r="C343" s="7"/>
    </row>
    <row r="344" spans="2:3" ht="15" x14ac:dyDescent="0.25">
      <c r="B344" s="7"/>
      <c r="C344" s="7"/>
    </row>
    <row r="345" spans="2:3" ht="15" x14ac:dyDescent="0.25">
      <c r="B345" s="7"/>
      <c r="C345" s="7"/>
    </row>
    <row r="346" spans="2:3" ht="15" x14ac:dyDescent="0.25">
      <c r="B346" s="7"/>
      <c r="C346" s="7"/>
    </row>
    <row r="347" spans="2:3" ht="15" x14ac:dyDescent="0.25">
      <c r="B347" s="7"/>
      <c r="C347" s="7"/>
    </row>
    <row r="348" spans="2:3" ht="15" x14ac:dyDescent="0.25">
      <c r="B348" s="7"/>
      <c r="C348" s="7"/>
    </row>
    <row r="349" spans="2:3" ht="15" x14ac:dyDescent="0.25">
      <c r="B349" s="7"/>
      <c r="C349" s="7"/>
    </row>
    <row r="350" spans="2:3" ht="15" x14ac:dyDescent="0.25">
      <c r="B350" s="7"/>
      <c r="C350" s="7"/>
    </row>
    <row r="351" spans="2:3" ht="15" x14ac:dyDescent="0.25">
      <c r="B351" s="7"/>
      <c r="C351" s="7"/>
    </row>
    <row r="352" spans="2:3" ht="15" x14ac:dyDescent="0.25">
      <c r="B352" s="7"/>
      <c r="C352" s="7"/>
    </row>
    <row r="353" spans="2:3" ht="15" x14ac:dyDescent="0.25">
      <c r="B353" s="7"/>
      <c r="C353" s="7"/>
    </row>
    <row r="354" spans="2:3" ht="15" x14ac:dyDescent="0.25">
      <c r="B354" s="7"/>
      <c r="C354" s="7"/>
    </row>
    <row r="355" spans="2:3" ht="15" x14ac:dyDescent="0.25">
      <c r="B355" s="7"/>
      <c r="C355" s="7"/>
    </row>
    <row r="356" spans="2:3" ht="15" x14ac:dyDescent="0.25">
      <c r="B356" s="7"/>
      <c r="C356" s="7"/>
    </row>
    <row r="357" spans="2:3" ht="15" x14ac:dyDescent="0.25">
      <c r="B357" s="7"/>
      <c r="C357" s="7"/>
    </row>
    <row r="358" spans="2:3" ht="15" x14ac:dyDescent="0.25">
      <c r="B358" s="7"/>
      <c r="C358" s="7"/>
    </row>
    <row r="359" spans="2:3" ht="15" x14ac:dyDescent="0.25">
      <c r="B359" s="7"/>
      <c r="C359" s="7"/>
    </row>
    <row r="360" spans="2:3" ht="15" x14ac:dyDescent="0.25">
      <c r="B360" s="7"/>
      <c r="C360" s="7"/>
    </row>
    <row r="361" spans="2:3" ht="15" x14ac:dyDescent="0.25">
      <c r="B361" s="7"/>
      <c r="C361" s="7"/>
    </row>
    <row r="362" spans="2:3" ht="15" x14ac:dyDescent="0.25">
      <c r="B362" s="7"/>
      <c r="C362" s="7"/>
    </row>
    <row r="363" spans="2:3" ht="15" x14ac:dyDescent="0.25">
      <c r="B363" s="7"/>
      <c r="C363" s="7"/>
    </row>
    <row r="364" spans="2:3" ht="15" x14ac:dyDescent="0.25">
      <c r="B364" s="7"/>
      <c r="C364" s="7"/>
    </row>
    <row r="365" spans="2:3" ht="15" x14ac:dyDescent="0.25">
      <c r="B365" s="7"/>
      <c r="C365" s="7"/>
    </row>
    <row r="366" spans="2:3" ht="15" x14ac:dyDescent="0.25">
      <c r="B366" s="7"/>
      <c r="C366" s="7"/>
    </row>
    <row r="367" spans="2:3" ht="15" x14ac:dyDescent="0.25">
      <c r="B367" s="7"/>
      <c r="C367" s="7"/>
    </row>
    <row r="368" spans="2:3" ht="15" x14ac:dyDescent="0.25">
      <c r="B368" s="7"/>
      <c r="C368" s="7"/>
    </row>
    <row r="369" spans="2:3" ht="15" x14ac:dyDescent="0.25">
      <c r="B369" s="7"/>
      <c r="C369" s="7"/>
    </row>
    <row r="370" spans="2:3" ht="15" x14ac:dyDescent="0.25">
      <c r="B370" s="7"/>
      <c r="C370" s="7"/>
    </row>
    <row r="371" spans="2:3" ht="15" x14ac:dyDescent="0.25">
      <c r="B371" s="7"/>
      <c r="C371" s="7"/>
    </row>
    <row r="372" spans="2:3" ht="15" x14ac:dyDescent="0.25">
      <c r="B372" s="7"/>
      <c r="C372" s="7"/>
    </row>
    <row r="373" spans="2:3" ht="15" x14ac:dyDescent="0.25">
      <c r="B373" s="7"/>
      <c r="C373" s="7"/>
    </row>
    <row r="374" spans="2:3" ht="15" x14ac:dyDescent="0.25">
      <c r="B374" s="7"/>
      <c r="C374" s="7"/>
    </row>
    <row r="375" spans="2:3" ht="15" x14ac:dyDescent="0.25">
      <c r="B375" s="7"/>
      <c r="C375" s="7"/>
    </row>
    <row r="376" spans="2:3" ht="15" x14ac:dyDescent="0.25">
      <c r="B376" s="7"/>
      <c r="C376" s="7"/>
    </row>
    <row r="377" spans="2:3" ht="15" x14ac:dyDescent="0.25">
      <c r="B377" s="7"/>
      <c r="C377" s="7"/>
    </row>
    <row r="378" spans="2:3" ht="15" x14ac:dyDescent="0.25">
      <c r="B378" s="7"/>
      <c r="C378" s="7"/>
    </row>
    <row r="379" spans="2:3" ht="15" x14ac:dyDescent="0.25">
      <c r="B379" s="7"/>
      <c r="C379" s="7"/>
    </row>
    <row r="380" spans="2:3" ht="15" x14ac:dyDescent="0.25">
      <c r="B380" s="7"/>
      <c r="C380" s="7"/>
    </row>
    <row r="381" spans="2:3" ht="15" x14ac:dyDescent="0.25">
      <c r="B381" s="7"/>
      <c r="C381" s="7"/>
    </row>
    <row r="382" spans="2:3" ht="15" x14ac:dyDescent="0.25">
      <c r="B382" s="7"/>
      <c r="C382" s="7"/>
    </row>
    <row r="383" spans="2:3" ht="15" x14ac:dyDescent="0.25">
      <c r="B383" s="7"/>
      <c r="C383" s="7"/>
    </row>
    <row r="384" spans="2:3" ht="15" x14ac:dyDescent="0.25">
      <c r="B384" s="7"/>
      <c r="C384" s="7"/>
    </row>
    <row r="385" spans="2:3" ht="15" x14ac:dyDescent="0.25">
      <c r="B385" s="7"/>
      <c r="C385" s="7"/>
    </row>
    <row r="386" spans="2:3" ht="15" x14ac:dyDescent="0.25">
      <c r="B386" s="7"/>
      <c r="C386" s="7"/>
    </row>
    <row r="387" spans="2:3" ht="15" x14ac:dyDescent="0.25">
      <c r="B387" s="7"/>
      <c r="C387" s="7"/>
    </row>
    <row r="388" spans="2:3" ht="15" x14ac:dyDescent="0.25">
      <c r="B388" s="7"/>
      <c r="C388" s="7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B3565E-C480-4A10-8524-B7BC06C9B703}">
  <dimension ref="A1:H287"/>
  <sheetViews>
    <sheetView workbookViewId="0">
      <pane ySplit="1" topLeftCell="A86" activePane="bottomLeft" state="frozen"/>
      <selection pane="bottomLeft" activeCell="B111" sqref="B111"/>
    </sheetView>
  </sheetViews>
  <sheetFormatPr defaultRowHeight="14.25" x14ac:dyDescent="0.2"/>
  <cols>
    <col min="1" max="1" width="6.625" bestFit="1" customWidth="1"/>
    <col min="2" max="2" width="8.75" customWidth="1"/>
    <col min="3" max="4" width="8.625" customWidth="1"/>
    <col min="5" max="7" width="6.625" customWidth="1"/>
  </cols>
  <sheetData>
    <row r="1" spans="1:7" ht="15" x14ac:dyDescent="0.25">
      <c r="A1" s="1" t="s">
        <v>0</v>
      </c>
      <c r="B1" s="1" t="s">
        <v>155</v>
      </c>
      <c r="C1" s="1" t="s">
        <v>125</v>
      </c>
      <c r="D1" s="1" t="s">
        <v>167</v>
      </c>
      <c r="E1" s="1" t="s">
        <v>2</v>
      </c>
      <c r="F1" s="1" t="s">
        <v>168</v>
      </c>
      <c r="G1" s="1" t="s">
        <v>169</v>
      </c>
    </row>
    <row r="2" spans="1:7" ht="15" x14ac:dyDescent="0.25">
      <c r="A2" s="33" t="s">
        <v>170</v>
      </c>
      <c r="B2" s="2">
        <v>735</v>
      </c>
      <c r="C2" s="2">
        <v>735</v>
      </c>
      <c r="D2" s="2">
        <v>736</v>
      </c>
      <c r="E2" s="3">
        <f>IF(C2&lt;&gt;"",IF(B2&lt;&gt;"",C2-B2,"-"), "-")</f>
        <v>0</v>
      </c>
      <c r="F2" s="3">
        <f>IF(D2&lt;&gt;"",IF(B2&lt;&gt;"",D2-B2,"-"), "-")</f>
        <v>1</v>
      </c>
    </row>
    <row r="3" spans="1:7" ht="15" x14ac:dyDescent="0.25">
      <c r="A3" s="33" t="s">
        <v>171</v>
      </c>
      <c r="B3" s="7">
        <v>1052</v>
      </c>
      <c r="C3" s="7">
        <v>1052</v>
      </c>
      <c r="D3" s="7">
        <v>1104</v>
      </c>
      <c r="E3" s="3">
        <f>IF(C3&lt;&gt;"",IF(B3&lt;&gt;"",C3-B3,"-"), "-")</f>
        <v>0</v>
      </c>
      <c r="F3" s="3">
        <f>IF(D3&lt;&gt;"",IF(B3&lt;&gt;"",D3-B3,"-"), "-")</f>
        <v>52</v>
      </c>
      <c r="G3">
        <f>(C3-C2) - (D3-D2)</f>
        <v>-51</v>
      </c>
    </row>
    <row r="4" spans="1:7" ht="15" x14ac:dyDescent="0.25">
      <c r="A4" s="33" t="s">
        <v>172</v>
      </c>
      <c r="B4" s="7">
        <v>1734</v>
      </c>
      <c r="C4" s="7">
        <v>1697</v>
      </c>
      <c r="D4" s="7">
        <v>1764</v>
      </c>
      <c r="E4" s="3">
        <f t="shared" ref="E4:E72" si="0">IF(C4&lt;&gt;"",IF(B4&lt;&gt;"",C4-B4,"-"), "-")</f>
        <v>-37</v>
      </c>
      <c r="F4" s="3">
        <f t="shared" ref="F4:F57" si="1">IF(D4&lt;&gt;"",IF(B4&lt;&gt;"",D4-B4,"-"), "-")</f>
        <v>30</v>
      </c>
      <c r="G4">
        <f t="shared" ref="G4:G71" si="2">(C4-C3) - (D4-D3)</f>
        <v>-15</v>
      </c>
    </row>
    <row r="5" spans="1:7" ht="15" x14ac:dyDescent="0.25">
      <c r="A5" s="33" t="s">
        <v>173</v>
      </c>
      <c r="B5" s="7">
        <v>2189</v>
      </c>
      <c r="C5" s="7">
        <v>2296</v>
      </c>
      <c r="D5" s="7">
        <v>2222</v>
      </c>
      <c r="E5" s="3">
        <f t="shared" si="0"/>
        <v>107</v>
      </c>
      <c r="F5" s="3">
        <f t="shared" si="1"/>
        <v>33</v>
      </c>
      <c r="G5">
        <f t="shared" si="2"/>
        <v>141</v>
      </c>
    </row>
    <row r="6" spans="1:7" ht="15" x14ac:dyDescent="0.25">
      <c r="A6" s="33" t="s">
        <v>174</v>
      </c>
      <c r="B6" s="7">
        <v>2835</v>
      </c>
      <c r="C6" s="7">
        <v>2957</v>
      </c>
      <c r="D6" s="7">
        <v>2882</v>
      </c>
      <c r="E6" s="3">
        <f t="shared" si="0"/>
        <v>122</v>
      </c>
      <c r="F6" s="3">
        <f t="shared" si="1"/>
        <v>47</v>
      </c>
      <c r="G6">
        <f t="shared" si="2"/>
        <v>1</v>
      </c>
    </row>
    <row r="7" spans="1:7" ht="15" x14ac:dyDescent="0.25">
      <c r="A7" s="33" t="s">
        <v>175</v>
      </c>
      <c r="B7" s="7">
        <v>3256</v>
      </c>
      <c r="C7" s="7">
        <v>3380</v>
      </c>
      <c r="D7" s="7">
        <v>3351</v>
      </c>
      <c r="E7" s="3">
        <f t="shared" si="0"/>
        <v>124</v>
      </c>
      <c r="F7" s="3">
        <f t="shared" si="1"/>
        <v>95</v>
      </c>
      <c r="G7">
        <f t="shared" si="2"/>
        <v>-46</v>
      </c>
    </row>
    <row r="8" spans="1:7" ht="15" x14ac:dyDescent="0.25">
      <c r="A8" s="33" t="s">
        <v>176</v>
      </c>
      <c r="B8" s="7">
        <v>3901</v>
      </c>
      <c r="C8" s="7">
        <v>4031</v>
      </c>
      <c r="D8" s="7">
        <v>4010</v>
      </c>
      <c r="E8" s="3">
        <f t="shared" si="0"/>
        <v>130</v>
      </c>
      <c r="F8" s="3">
        <f t="shared" si="1"/>
        <v>109</v>
      </c>
      <c r="G8">
        <f t="shared" si="2"/>
        <v>-8</v>
      </c>
    </row>
    <row r="9" spans="1:7" ht="15" x14ac:dyDescent="0.25">
      <c r="A9" s="33" t="s">
        <v>177</v>
      </c>
      <c r="B9" s="7">
        <v>4382</v>
      </c>
      <c r="C9" s="7">
        <v>4553</v>
      </c>
      <c r="D9" s="7">
        <v>4491</v>
      </c>
      <c r="E9" s="3">
        <f t="shared" si="0"/>
        <v>171</v>
      </c>
      <c r="F9" s="3">
        <f t="shared" si="1"/>
        <v>109</v>
      </c>
      <c r="G9">
        <f t="shared" si="2"/>
        <v>41</v>
      </c>
    </row>
    <row r="10" spans="1:7" ht="15" x14ac:dyDescent="0.25">
      <c r="A10" s="33" t="s">
        <v>178</v>
      </c>
      <c r="B10" s="7">
        <v>5042</v>
      </c>
      <c r="C10" s="7">
        <v>5209</v>
      </c>
      <c r="D10" s="7">
        <v>5150</v>
      </c>
      <c r="E10" s="3">
        <f t="shared" si="0"/>
        <v>167</v>
      </c>
      <c r="F10" s="3">
        <f t="shared" si="1"/>
        <v>108</v>
      </c>
      <c r="G10">
        <f t="shared" si="2"/>
        <v>-3</v>
      </c>
    </row>
    <row r="11" spans="1:7" ht="15" x14ac:dyDescent="0.25">
      <c r="A11" s="33" t="s">
        <v>179</v>
      </c>
      <c r="B11" s="7">
        <v>5332</v>
      </c>
      <c r="C11" s="7">
        <v>5536</v>
      </c>
      <c r="D11" s="7">
        <v>5463</v>
      </c>
      <c r="E11" s="3">
        <f t="shared" si="0"/>
        <v>204</v>
      </c>
      <c r="F11" s="3">
        <f t="shared" si="1"/>
        <v>131</v>
      </c>
      <c r="G11">
        <f t="shared" si="2"/>
        <v>14</v>
      </c>
    </row>
    <row r="12" spans="1:7" ht="15" x14ac:dyDescent="0.25">
      <c r="A12" s="33" t="s">
        <v>180</v>
      </c>
      <c r="B12" s="7">
        <v>5978</v>
      </c>
      <c r="C12" s="7">
        <v>6216</v>
      </c>
      <c r="D12" s="7">
        <v>6108</v>
      </c>
      <c r="E12" s="3">
        <f t="shared" si="0"/>
        <v>238</v>
      </c>
      <c r="F12" s="3">
        <f t="shared" si="1"/>
        <v>130</v>
      </c>
      <c r="G12">
        <f t="shared" si="2"/>
        <v>35</v>
      </c>
    </row>
    <row r="13" spans="1:7" ht="15" x14ac:dyDescent="0.25">
      <c r="A13" s="33" t="s">
        <v>181</v>
      </c>
      <c r="B13" s="7">
        <v>6999</v>
      </c>
      <c r="C13" s="7">
        <v>7274</v>
      </c>
      <c r="D13" s="7">
        <v>7132</v>
      </c>
      <c r="E13" s="3">
        <f t="shared" si="0"/>
        <v>275</v>
      </c>
      <c r="F13" s="3">
        <f t="shared" si="1"/>
        <v>133</v>
      </c>
      <c r="G13">
        <f t="shared" si="2"/>
        <v>34</v>
      </c>
    </row>
    <row r="14" spans="1:7" ht="15" x14ac:dyDescent="0.25">
      <c r="A14" s="33" t="s">
        <v>182</v>
      </c>
      <c r="B14" s="7">
        <v>7646</v>
      </c>
      <c r="C14" s="7">
        <v>7919</v>
      </c>
      <c r="D14" s="7">
        <v>7777</v>
      </c>
      <c r="E14" s="3">
        <f t="shared" si="0"/>
        <v>273</v>
      </c>
      <c r="F14" s="3">
        <f t="shared" si="1"/>
        <v>131</v>
      </c>
      <c r="G14">
        <f t="shared" si="2"/>
        <v>0</v>
      </c>
    </row>
    <row r="15" spans="1:7" ht="15" x14ac:dyDescent="0.25">
      <c r="A15" s="33" t="s">
        <v>183</v>
      </c>
      <c r="B15" s="7">
        <v>8112</v>
      </c>
      <c r="C15" s="7">
        <v>8407</v>
      </c>
      <c r="D15" s="7">
        <v>8259</v>
      </c>
      <c r="E15" s="3">
        <f t="shared" si="0"/>
        <v>295</v>
      </c>
      <c r="F15" s="3">
        <f t="shared" si="1"/>
        <v>147</v>
      </c>
      <c r="G15">
        <f t="shared" si="2"/>
        <v>6</v>
      </c>
    </row>
    <row r="16" spans="1:7" ht="15" x14ac:dyDescent="0.25">
      <c r="A16" s="33" t="s">
        <v>184</v>
      </c>
      <c r="B16" s="7">
        <v>8758</v>
      </c>
      <c r="C16" s="7">
        <v>9053</v>
      </c>
      <c r="D16" s="7">
        <v>8904</v>
      </c>
      <c r="E16" s="3">
        <f t="shared" si="0"/>
        <v>295</v>
      </c>
      <c r="F16" s="3">
        <f t="shared" si="1"/>
        <v>146</v>
      </c>
      <c r="G16">
        <f t="shared" si="2"/>
        <v>1</v>
      </c>
    </row>
    <row r="17" spans="1:8" ht="15" x14ac:dyDescent="0.25">
      <c r="A17" s="33" t="s">
        <v>185</v>
      </c>
      <c r="B17" s="7">
        <v>9166</v>
      </c>
      <c r="C17" s="7">
        <v>9481</v>
      </c>
      <c r="D17" s="7">
        <v>9313</v>
      </c>
      <c r="E17" s="3">
        <f t="shared" si="0"/>
        <v>315</v>
      </c>
      <c r="F17" s="3">
        <f t="shared" si="1"/>
        <v>147</v>
      </c>
      <c r="G17">
        <f t="shared" si="2"/>
        <v>19</v>
      </c>
    </row>
    <row r="18" spans="1:8" ht="15" x14ac:dyDescent="0.25">
      <c r="A18" s="33" t="s">
        <v>186</v>
      </c>
      <c r="B18" s="7">
        <v>9811</v>
      </c>
      <c r="C18" s="7">
        <v>10126</v>
      </c>
      <c r="D18" s="7">
        <v>9958</v>
      </c>
      <c r="E18" s="3">
        <f t="shared" si="0"/>
        <v>315</v>
      </c>
      <c r="F18" s="3">
        <f t="shared" si="1"/>
        <v>147</v>
      </c>
      <c r="G18">
        <f t="shared" si="2"/>
        <v>0</v>
      </c>
    </row>
    <row r="19" spans="1:8" ht="15" x14ac:dyDescent="0.25">
      <c r="A19" s="33" t="s">
        <v>187</v>
      </c>
      <c r="B19" s="7">
        <v>10903</v>
      </c>
      <c r="C19" s="7">
        <v>11221</v>
      </c>
      <c r="D19" s="7">
        <v>11049</v>
      </c>
      <c r="E19" s="3">
        <f t="shared" si="0"/>
        <v>318</v>
      </c>
      <c r="F19" s="3">
        <f t="shared" si="1"/>
        <v>146</v>
      </c>
      <c r="G19">
        <f t="shared" si="2"/>
        <v>4</v>
      </c>
    </row>
    <row r="20" spans="1:8" ht="15" x14ac:dyDescent="0.25">
      <c r="A20" s="33" t="s">
        <v>188</v>
      </c>
      <c r="B20" s="7">
        <v>11541</v>
      </c>
      <c r="C20" s="7">
        <v>11859</v>
      </c>
      <c r="D20" s="33">
        <v>11687</v>
      </c>
      <c r="E20" s="3">
        <f t="shared" si="0"/>
        <v>318</v>
      </c>
      <c r="F20" s="3">
        <f t="shared" si="1"/>
        <v>146</v>
      </c>
      <c r="G20">
        <f t="shared" si="2"/>
        <v>0</v>
      </c>
    </row>
    <row r="21" spans="1:8" ht="15" x14ac:dyDescent="0.25">
      <c r="A21" s="33" t="s">
        <v>189</v>
      </c>
      <c r="B21" s="7">
        <v>12111</v>
      </c>
      <c r="C21" s="7">
        <v>12432</v>
      </c>
      <c r="D21" s="7">
        <v>12339</v>
      </c>
      <c r="E21" s="3">
        <f t="shared" si="0"/>
        <v>321</v>
      </c>
      <c r="F21" s="3">
        <f t="shared" si="1"/>
        <v>228</v>
      </c>
      <c r="G21">
        <f t="shared" si="2"/>
        <v>-79</v>
      </c>
    </row>
    <row r="22" spans="1:8" ht="15" x14ac:dyDescent="0.25">
      <c r="A22" s="33" t="s">
        <v>190</v>
      </c>
      <c r="B22" s="7">
        <v>12770</v>
      </c>
      <c r="C22" s="7">
        <v>13091</v>
      </c>
      <c r="D22" s="7">
        <v>12998</v>
      </c>
      <c r="E22" s="3">
        <f t="shared" si="0"/>
        <v>321</v>
      </c>
      <c r="F22" s="3">
        <f t="shared" si="1"/>
        <v>228</v>
      </c>
      <c r="G22">
        <f t="shared" si="2"/>
        <v>0</v>
      </c>
    </row>
    <row r="23" spans="1:8" ht="15" x14ac:dyDescent="0.25">
      <c r="A23" s="33" t="s">
        <v>191</v>
      </c>
      <c r="B23" s="7">
        <v>13076</v>
      </c>
      <c r="C23" s="7">
        <v>13412</v>
      </c>
      <c r="D23" s="7">
        <v>13389</v>
      </c>
      <c r="E23" s="3">
        <f t="shared" si="0"/>
        <v>336</v>
      </c>
      <c r="F23" s="3">
        <f t="shared" si="1"/>
        <v>313</v>
      </c>
      <c r="G23">
        <f t="shared" si="2"/>
        <v>-70</v>
      </c>
    </row>
    <row r="24" spans="1:8" ht="15" x14ac:dyDescent="0.25">
      <c r="A24" s="33" t="s">
        <v>192</v>
      </c>
      <c r="B24" s="33">
        <v>13735</v>
      </c>
      <c r="C24" s="7">
        <v>14071</v>
      </c>
      <c r="D24" s="7">
        <v>14048</v>
      </c>
      <c r="E24" s="3">
        <f t="shared" si="0"/>
        <v>336</v>
      </c>
      <c r="F24" s="3">
        <f t="shared" si="1"/>
        <v>313</v>
      </c>
      <c r="G24">
        <f t="shared" si="2"/>
        <v>0</v>
      </c>
    </row>
    <row r="25" spans="1:8" ht="15" x14ac:dyDescent="0.25">
      <c r="A25" s="33" t="s">
        <v>193</v>
      </c>
      <c r="B25" s="7">
        <v>14417</v>
      </c>
      <c r="C25" s="7">
        <v>14755</v>
      </c>
      <c r="D25" s="7">
        <v>14730</v>
      </c>
      <c r="E25" s="3">
        <f t="shared" si="0"/>
        <v>338</v>
      </c>
      <c r="F25" s="3">
        <f t="shared" si="1"/>
        <v>313</v>
      </c>
      <c r="G25">
        <f t="shared" si="2"/>
        <v>2</v>
      </c>
    </row>
    <row r="26" spans="1:8" ht="15" x14ac:dyDescent="0.25">
      <c r="A26" s="33" t="s">
        <v>194</v>
      </c>
      <c r="B26" s="7">
        <v>15063</v>
      </c>
      <c r="C26" s="7">
        <v>15409</v>
      </c>
      <c r="D26" s="7">
        <v>15375</v>
      </c>
      <c r="E26" s="3">
        <f t="shared" si="0"/>
        <v>346</v>
      </c>
      <c r="F26" s="3">
        <f t="shared" si="1"/>
        <v>312</v>
      </c>
      <c r="G26">
        <f t="shared" si="2"/>
        <v>9</v>
      </c>
    </row>
    <row r="27" spans="1:8" ht="15" x14ac:dyDescent="0.25">
      <c r="A27" s="8" t="s">
        <v>195</v>
      </c>
      <c r="B27" s="7">
        <v>15660</v>
      </c>
      <c r="C27" s="7">
        <v>15994</v>
      </c>
      <c r="D27" s="7">
        <v>15987</v>
      </c>
      <c r="E27" s="3">
        <f t="shared" si="0"/>
        <v>334</v>
      </c>
      <c r="F27" s="3">
        <f t="shared" si="1"/>
        <v>327</v>
      </c>
      <c r="G27">
        <f t="shared" si="2"/>
        <v>-27</v>
      </c>
    </row>
    <row r="28" spans="1:8" ht="15" x14ac:dyDescent="0.25">
      <c r="A28" s="7" t="s">
        <v>196</v>
      </c>
      <c r="B28" s="7">
        <v>16305</v>
      </c>
      <c r="C28" s="7">
        <v>16640</v>
      </c>
      <c r="D28" s="7">
        <v>16632</v>
      </c>
      <c r="E28" s="3">
        <f t="shared" si="0"/>
        <v>335</v>
      </c>
      <c r="F28" s="3">
        <f t="shared" si="1"/>
        <v>327</v>
      </c>
      <c r="G28">
        <f t="shared" si="2"/>
        <v>1</v>
      </c>
    </row>
    <row r="29" spans="1:8" ht="15" x14ac:dyDescent="0.25">
      <c r="A29" s="7" t="s">
        <v>195</v>
      </c>
      <c r="B29" s="7">
        <v>16830</v>
      </c>
      <c r="C29" s="7">
        <v>17228</v>
      </c>
      <c r="D29" s="7">
        <v>17152</v>
      </c>
      <c r="E29" s="3">
        <f t="shared" si="0"/>
        <v>398</v>
      </c>
      <c r="F29" s="3">
        <f t="shared" si="1"/>
        <v>322</v>
      </c>
      <c r="G29">
        <f t="shared" si="2"/>
        <v>68</v>
      </c>
    </row>
    <row r="30" spans="1:8" ht="15" x14ac:dyDescent="0.25">
      <c r="A30" s="7" t="s">
        <v>197</v>
      </c>
      <c r="B30" s="7">
        <v>17476</v>
      </c>
      <c r="C30" s="7">
        <v>17866</v>
      </c>
      <c r="D30" s="7">
        <v>17797</v>
      </c>
      <c r="E30" s="3">
        <f t="shared" si="0"/>
        <v>390</v>
      </c>
      <c r="F30" s="3">
        <f t="shared" si="1"/>
        <v>321</v>
      </c>
      <c r="G30">
        <f t="shared" si="2"/>
        <v>-7</v>
      </c>
    </row>
    <row r="31" spans="1:8" ht="15" x14ac:dyDescent="0.25">
      <c r="A31" s="7" t="s">
        <v>198</v>
      </c>
      <c r="B31" s="7">
        <v>18217</v>
      </c>
      <c r="C31" s="7">
        <v>18604</v>
      </c>
      <c r="D31" s="7">
        <v>18546</v>
      </c>
      <c r="E31" s="3">
        <f t="shared" si="0"/>
        <v>387</v>
      </c>
      <c r="F31" s="3">
        <f t="shared" si="1"/>
        <v>329</v>
      </c>
      <c r="G31">
        <f t="shared" si="2"/>
        <v>-11</v>
      </c>
    </row>
    <row r="32" spans="1:8" ht="15" x14ac:dyDescent="0.25">
      <c r="A32" s="7" t="s">
        <v>199</v>
      </c>
      <c r="B32" s="7">
        <v>18855</v>
      </c>
      <c r="C32" s="7">
        <v>19242</v>
      </c>
      <c r="D32" s="7">
        <v>19184</v>
      </c>
      <c r="E32" s="3">
        <f t="shared" si="0"/>
        <v>387</v>
      </c>
      <c r="F32" s="3">
        <f t="shared" si="1"/>
        <v>329</v>
      </c>
      <c r="G32">
        <f t="shared" si="2"/>
        <v>0</v>
      </c>
      <c r="H32" s="7"/>
    </row>
    <row r="33" spans="1:8" ht="15" x14ac:dyDescent="0.25">
      <c r="A33" s="7" t="s">
        <v>200</v>
      </c>
      <c r="B33" s="7">
        <v>19222</v>
      </c>
      <c r="C33" s="7">
        <v>19683</v>
      </c>
      <c r="D33" s="7">
        <v>19572</v>
      </c>
      <c r="E33" s="3">
        <f t="shared" si="0"/>
        <v>461</v>
      </c>
      <c r="F33" s="3">
        <f t="shared" si="1"/>
        <v>350</v>
      </c>
      <c r="G33">
        <f>(C33-C32) - (D33-D32)</f>
        <v>53</v>
      </c>
      <c r="H33" s="7"/>
    </row>
    <row r="34" spans="1:8" ht="15" x14ac:dyDescent="0.25">
      <c r="A34" s="7" t="s">
        <v>201</v>
      </c>
      <c r="B34" s="7">
        <v>19867</v>
      </c>
      <c r="C34" s="7">
        <v>20330</v>
      </c>
      <c r="D34" s="7">
        <v>20217</v>
      </c>
      <c r="E34" s="3">
        <f t="shared" si="0"/>
        <v>463</v>
      </c>
      <c r="F34" s="3">
        <f t="shared" si="1"/>
        <v>350</v>
      </c>
      <c r="G34">
        <f t="shared" si="2"/>
        <v>2</v>
      </c>
    </row>
    <row r="35" spans="1:8" ht="15" x14ac:dyDescent="0.25">
      <c r="A35" s="33" t="s">
        <v>232</v>
      </c>
      <c r="B35" s="7">
        <v>20034</v>
      </c>
      <c r="C35" s="7">
        <v>20501</v>
      </c>
      <c r="D35" s="7">
        <v>20383</v>
      </c>
      <c r="E35" s="3">
        <f t="shared" si="0"/>
        <v>467</v>
      </c>
      <c r="F35" s="3">
        <f t="shared" si="1"/>
        <v>349</v>
      </c>
      <c r="G35">
        <f t="shared" si="2"/>
        <v>5</v>
      </c>
    </row>
    <row r="36" spans="1:8" ht="15" x14ac:dyDescent="0.25">
      <c r="A36" s="7" t="s">
        <v>202</v>
      </c>
      <c r="B36" s="7">
        <v>20738</v>
      </c>
      <c r="C36" s="7">
        <v>21340</v>
      </c>
      <c r="D36" s="7">
        <v>21086</v>
      </c>
      <c r="E36" s="3">
        <f t="shared" si="0"/>
        <v>602</v>
      </c>
      <c r="F36" s="3">
        <f t="shared" si="1"/>
        <v>348</v>
      </c>
      <c r="G36">
        <f>(C36-C34) - (D36-D34)</f>
        <v>141</v>
      </c>
    </row>
    <row r="37" spans="1:8" ht="15" x14ac:dyDescent="0.25">
      <c r="A37" s="7" t="s">
        <v>203</v>
      </c>
      <c r="B37" s="7">
        <v>21383</v>
      </c>
      <c r="C37" s="7">
        <v>21985</v>
      </c>
      <c r="D37" s="7">
        <v>21731</v>
      </c>
      <c r="E37" s="3">
        <f t="shared" si="0"/>
        <v>602</v>
      </c>
      <c r="F37" s="3">
        <f t="shared" si="1"/>
        <v>348</v>
      </c>
      <c r="G37">
        <f t="shared" si="2"/>
        <v>0</v>
      </c>
    </row>
    <row r="38" spans="1:8" ht="15" x14ac:dyDescent="0.25">
      <c r="A38" s="7" t="s">
        <v>204</v>
      </c>
      <c r="B38" s="8">
        <v>22330</v>
      </c>
      <c r="C38" s="8">
        <v>22936</v>
      </c>
      <c r="D38" s="8">
        <v>22797</v>
      </c>
      <c r="E38" s="3">
        <f t="shared" si="0"/>
        <v>606</v>
      </c>
      <c r="F38" s="3">
        <f t="shared" si="1"/>
        <v>467</v>
      </c>
      <c r="G38">
        <f>(C38-C37) - (D38-D37)</f>
        <v>-115</v>
      </c>
    </row>
    <row r="39" spans="1:8" ht="15" x14ac:dyDescent="0.25">
      <c r="A39" s="7" t="s">
        <v>205</v>
      </c>
      <c r="B39" s="33">
        <v>22994</v>
      </c>
      <c r="C39" s="7">
        <v>23582</v>
      </c>
      <c r="D39" s="7">
        <v>23442</v>
      </c>
      <c r="E39" s="3">
        <f t="shared" si="0"/>
        <v>588</v>
      </c>
      <c r="F39" s="3">
        <f t="shared" si="1"/>
        <v>448</v>
      </c>
      <c r="G39">
        <f t="shared" si="2"/>
        <v>1</v>
      </c>
    </row>
    <row r="40" spans="1:8" ht="15" x14ac:dyDescent="0.25">
      <c r="A40" s="7" t="s">
        <v>206</v>
      </c>
      <c r="B40" s="7">
        <v>23293</v>
      </c>
      <c r="C40" s="7">
        <v>23922</v>
      </c>
      <c r="D40" s="7">
        <v>23797</v>
      </c>
      <c r="E40" s="3">
        <f t="shared" si="0"/>
        <v>629</v>
      </c>
      <c r="F40" s="3">
        <f t="shared" si="1"/>
        <v>504</v>
      </c>
      <c r="G40">
        <f t="shared" si="2"/>
        <v>-15</v>
      </c>
    </row>
    <row r="41" spans="1:8" ht="15" x14ac:dyDescent="0.25">
      <c r="A41" s="7" t="s">
        <v>207</v>
      </c>
      <c r="B41" s="7">
        <v>23953</v>
      </c>
      <c r="C41" s="7">
        <v>24583</v>
      </c>
      <c r="D41" s="7">
        <v>24442</v>
      </c>
      <c r="E41" s="3">
        <f t="shared" si="0"/>
        <v>630</v>
      </c>
      <c r="F41" s="3">
        <f t="shared" si="1"/>
        <v>489</v>
      </c>
      <c r="G41">
        <f t="shared" si="2"/>
        <v>16</v>
      </c>
    </row>
    <row r="42" spans="1:8" ht="15" x14ac:dyDescent="0.25">
      <c r="A42" s="7" t="s">
        <v>208</v>
      </c>
      <c r="B42" s="7">
        <v>24530</v>
      </c>
      <c r="C42" s="7">
        <v>25181</v>
      </c>
      <c r="D42" s="7">
        <v>25025</v>
      </c>
      <c r="E42" s="3">
        <f t="shared" si="0"/>
        <v>651</v>
      </c>
      <c r="F42" s="3">
        <f t="shared" si="1"/>
        <v>495</v>
      </c>
      <c r="G42">
        <f t="shared" si="2"/>
        <v>15</v>
      </c>
    </row>
    <row r="43" spans="1:8" ht="15" x14ac:dyDescent="0.25">
      <c r="A43" s="7" t="s">
        <v>209</v>
      </c>
      <c r="B43" s="7">
        <v>25190</v>
      </c>
      <c r="C43" s="7">
        <v>25839</v>
      </c>
      <c r="D43" s="7">
        <v>25684</v>
      </c>
      <c r="E43" s="3">
        <f t="shared" si="0"/>
        <v>649</v>
      </c>
      <c r="F43" s="3">
        <f t="shared" si="1"/>
        <v>494</v>
      </c>
      <c r="G43">
        <f t="shared" si="2"/>
        <v>-1</v>
      </c>
    </row>
    <row r="44" spans="1:8" ht="15" x14ac:dyDescent="0.25">
      <c r="A44" s="7" t="s">
        <v>210</v>
      </c>
      <c r="B44" s="7">
        <v>26022</v>
      </c>
      <c r="C44" s="7">
        <v>26718</v>
      </c>
      <c r="D44" s="7">
        <v>26528</v>
      </c>
      <c r="E44" s="3">
        <f t="shared" si="0"/>
        <v>696</v>
      </c>
      <c r="F44" s="3">
        <f t="shared" si="1"/>
        <v>506</v>
      </c>
      <c r="G44">
        <f t="shared" si="2"/>
        <v>35</v>
      </c>
    </row>
    <row r="45" spans="1:8" ht="15" x14ac:dyDescent="0.25">
      <c r="A45" s="7" t="s">
        <v>211</v>
      </c>
      <c r="B45" s="7">
        <v>26681</v>
      </c>
      <c r="C45" s="7">
        <v>27377</v>
      </c>
      <c r="D45" s="7">
        <v>27187</v>
      </c>
      <c r="E45" s="3">
        <f t="shared" si="0"/>
        <v>696</v>
      </c>
      <c r="F45" s="3">
        <f t="shared" si="1"/>
        <v>506</v>
      </c>
      <c r="G45">
        <f t="shared" si="2"/>
        <v>0</v>
      </c>
    </row>
    <row r="46" spans="1:8" ht="15" x14ac:dyDescent="0.25">
      <c r="A46" s="7" t="s">
        <v>212</v>
      </c>
      <c r="B46" s="7">
        <v>27241</v>
      </c>
      <c r="C46" s="7">
        <v>28030</v>
      </c>
      <c r="D46" s="7">
        <v>27750</v>
      </c>
      <c r="E46" s="3">
        <f t="shared" si="0"/>
        <v>789</v>
      </c>
      <c r="F46" s="3">
        <f t="shared" si="1"/>
        <v>509</v>
      </c>
      <c r="G46">
        <f t="shared" si="2"/>
        <v>90</v>
      </c>
    </row>
    <row r="47" spans="1:8" ht="15" x14ac:dyDescent="0.25">
      <c r="A47" s="7" t="s">
        <v>213</v>
      </c>
      <c r="B47" s="7">
        <v>27889</v>
      </c>
      <c r="C47" s="7">
        <v>28675</v>
      </c>
      <c r="D47" s="7">
        <v>28395</v>
      </c>
      <c r="E47" s="3">
        <f t="shared" si="0"/>
        <v>786</v>
      </c>
      <c r="F47" s="3">
        <f t="shared" si="1"/>
        <v>506</v>
      </c>
      <c r="G47">
        <f t="shared" si="2"/>
        <v>0</v>
      </c>
    </row>
    <row r="48" spans="1:8" ht="15" x14ac:dyDescent="0.25">
      <c r="A48" s="7" t="s">
        <v>214</v>
      </c>
      <c r="B48" s="7">
        <v>28945</v>
      </c>
      <c r="C48" s="7">
        <v>29883</v>
      </c>
      <c r="D48" s="7">
        <v>29432</v>
      </c>
      <c r="E48" s="3">
        <f t="shared" si="0"/>
        <v>938</v>
      </c>
      <c r="F48" s="3">
        <f t="shared" si="1"/>
        <v>487</v>
      </c>
      <c r="G48">
        <f>(C48-C47) - (D48-D47)</f>
        <v>171</v>
      </c>
    </row>
    <row r="49" spans="1:7" ht="15" x14ac:dyDescent="0.25">
      <c r="A49" s="7" t="s">
        <v>215</v>
      </c>
      <c r="B49" s="7">
        <v>29444</v>
      </c>
      <c r="C49" s="7">
        <v>30382</v>
      </c>
      <c r="D49" s="7">
        <v>29930</v>
      </c>
      <c r="E49" s="3">
        <f t="shared" si="0"/>
        <v>938</v>
      </c>
      <c r="F49" s="3">
        <f t="shared" si="1"/>
        <v>486</v>
      </c>
      <c r="G49">
        <f t="shared" si="2"/>
        <v>1</v>
      </c>
    </row>
    <row r="50" spans="1:7" ht="15" x14ac:dyDescent="0.25">
      <c r="A50" s="7" t="s">
        <v>216</v>
      </c>
      <c r="B50" s="7">
        <v>29868</v>
      </c>
      <c r="C50" s="7">
        <v>30809</v>
      </c>
      <c r="D50" s="7">
        <v>30422</v>
      </c>
      <c r="E50" s="3">
        <f t="shared" si="0"/>
        <v>941</v>
      </c>
      <c r="F50" s="3">
        <f t="shared" si="1"/>
        <v>554</v>
      </c>
      <c r="G50">
        <f t="shared" si="2"/>
        <v>-65</v>
      </c>
    </row>
    <row r="51" spans="1:7" ht="15" x14ac:dyDescent="0.25">
      <c r="A51" s="7" t="s">
        <v>217</v>
      </c>
      <c r="B51" s="7">
        <v>30507</v>
      </c>
      <c r="C51" s="7">
        <v>31450</v>
      </c>
      <c r="D51" s="7">
        <v>31060</v>
      </c>
      <c r="E51" s="3">
        <f t="shared" si="0"/>
        <v>943</v>
      </c>
      <c r="F51" s="3">
        <f t="shared" si="1"/>
        <v>553</v>
      </c>
      <c r="G51">
        <f t="shared" si="2"/>
        <v>3</v>
      </c>
    </row>
    <row r="52" spans="1:7" ht="15" x14ac:dyDescent="0.25">
      <c r="A52" s="7" t="s">
        <v>218</v>
      </c>
      <c r="B52" s="7">
        <v>31061</v>
      </c>
      <c r="C52" s="7">
        <v>32009</v>
      </c>
      <c r="D52" s="7">
        <v>31627</v>
      </c>
      <c r="E52" s="3">
        <f t="shared" si="0"/>
        <v>948</v>
      </c>
      <c r="F52" s="3">
        <f t="shared" si="1"/>
        <v>566</v>
      </c>
      <c r="G52">
        <f t="shared" si="2"/>
        <v>-8</v>
      </c>
    </row>
    <row r="53" spans="1:7" ht="15" x14ac:dyDescent="0.25">
      <c r="A53" s="7" t="s">
        <v>219</v>
      </c>
      <c r="B53" s="7">
        <v>31706</v>
      </c>
      <c r="C53" s="7">
        <v>32654</v>
      </c>
      <c r="D53" s="7">
        <v>32272</v>
      </c>
      <c r="E53" s="3">
        <f t="shared" si="0"/>
        <v>948</v>
      </c>
      <c r="F53" s="3">
        <f t="shared" si="1"/>
        <v>566</v>
      </c>
      <c r="G53">
        <f t="shared" si="2"/>
        <v>0</v>
      </c>
    </row>
    <row r="54" spans="1:7" ht="15" x14ac:dyDescent="0.25">
      <c r="A54" s="7" t="s">
        <v>220</v>
      </c>
      <c r="B54" s="7">
        <v>32622</v>
      </c>
      <c r="C54" s="7">
        <v>33576</v>
      </c>
      <c r="D54" s="7">
        <v>33186</v>
      </c>
      <c r="E54" s="3">
        <f t="shared" si="0"/>
        <v>954</v>
      </c>
      <c r="F54" s="3">
        <f t="shared" si="1"/>
        <v>564</v>
      </c>
      <c r="G54">
        <f t="shared" si="2"/>
        <v>8</v>
      </c>
    </row>
    <row r="55" spans="1:7" ht="15" x14ac:dyDescent="0.25">
      <c r="A55" s="7" t="s">
        <v>221</v>
      </c>
      <c r="B55" s="7">
        <v>33269</v>
      </c>
      <c r="C55" s="7">
        <v>34235</v>
      </c>
      <c r="D55" s="7">
        <v>33845</v>
      </c>
      <c r="E55" s="3">
        <f t="shared" si="0"/>
        <v>966</v>
      </c>
      <c r="F55" s="3">
        <f t="shared" si="1"/>
        <v>576</v>
      </c>
      <c r="G55">
        <f t="shared" si="2"/>
        <v>0</v>
      </c>
    </row>
    <row r="56" spans="1:7" ht="15" x14ac:dyDescent="0.25">
      <c r="A56" s="7" t="s">
        <v>222</v>
      </c>
      <c r="B56" s="7">
        <v>34177</v>
      </c>
      <c r="C56" s="7">
        <v>35341</v>
      </c>
      <c r="D56" s="7">
        <v>34891</v>
      </c>
      <c r="E56" s="3">
        <f t="shared" si="0"/>
        <v>1164</v>
      </c>
      <c r="F56" s="3">
        <f t="shared" si="1"/>
        <v>714</v>
      </c>
      <c r="G56">
        <f>(C56-C55) - (D56-D55)</f>
        <v>60</v>
      </c>
    </row>
    <row r="57" spans="1:7" ht="15" x14ac:dyDescent="0.25">
      <c r="A57" s="7" t="s">
        <v>223</v>
      </c>
      <c r="B57" s="7">
        <v>34821</v>
      </c>
      <c r="C57" s="7">
        <v>35986</v>
      </c>
      <c r="D57" s="7">
        <v>35550</v>
      </c>
      <c r="E57" s="3">
        <f t="shared" si="0"/>
        <v>1165</v>
      </c>
      <c r="F57" s="3">
        <f t="shared" si="1"/>
        <v>729</v>
      </c>
      <c r="G57">
        <f t="shared" si="2"/>
        <v>-14</v>
      </c>
    </row>
    <row r="58" spans="1:7" ht="15" x14ac:dyDescent="0.25">
      <c r="A58" s="7" t="s">
        <v>224</v>
      </c>
      <c r="B58" s="7">
        <v>35636</v>
      </c>
      <c r="C58" s="7">
        <v>36861</v>
      </c>
      <c r="D58" s="7">
        <v>36365</v>
      </c>
      <c r="E58" s="3">
        <f t="shared" si="0"/>
        <v>1225</v>
      </c>
      <c r="F58" s="3">
        <f t="shared" ref="F58:F126" si="3">IF(D58&lt;&gt;"",IF(B58&lt;&gt;"",D58-B58,"-"), "-")</f>
        <v>729</v>
      </c>
      <c r="G58">
        <f t="shared" si="2"/>
        <v>60</v>
      </c>
    </row>
    <row r="59" spans="1:7" ht="15" x14ac:dyDescent="0.25">
      <c r="A59" s="7" t="s">
        <v>225</v>
      </c>
      <c r="B59" s="7">
        <v>36237</v>
      </c>
      <c r="C59" s="7">
        <v>37461</v>
      </c>
      <c r="D59" s="7">
        <v>36977</v>
      </c>
      <c r="E59" s="3">
        <f t="shared" si="0"/>
        <v>1224</v>
      </c>
      <c r="F59" s="3">
        <f t="shared" si="3"/>
        <v>740</v>
      </c>
      <c r="G59">
        <f t="shared" si="2"/>
        <v>-12</v>
      </c>
    </row>
    <row r="60" spans="1:7" ht="15" x14ac:dyDescent="0.25">
      <c r="A60" s="7" t="s">
        <v>27</v>
      </c>
      <c r="B60" s="7">
        <v>37327</v>
      </c>
      <c r="C60" s="7">
        <v>38564</v>
      </c>
      <c r="D60" s="7">
        <v>38073</v>
      </c>
      <c r="E60" s="3">
        <f t="shared" si="0"/>
        <v>1237</v>
      </c>
      <c r="F60" s="3">
        <f t="shared" si="3"/>
        <v>746</v>
      </c>
      <c r="G60">
        <f t="shared" si="2"/>
        <v>7</v>
      </c>
    </row>
    <row r="61" spans="1:7" ht="15" x14ac:dyDescent="0.25">
      <c r="A61" s="7" t="s">
        <v>226</v>
      </c>
      <c r="B61" s="7">
        <v>37819</v>
      </c>
      <c r="C61" s="7">
        <v>39057</v>
      </c>
      <c r="D61" s="7">
        <v>38571</v>
      </c>
      <c r="E61" s="3">
        <f t="shared" si="0"/>
        <v>1238</v>
      </c>
      <c r="F61" s="3">
        <f t="shared" si="3"/>
        <v>752</v>
      </c>
      <c r="G61">
        <f t="shared" si="2"/>
        <v>-5</v>
      </c>
    </row>
    <row r="62" spans="1:7" ht="15" x14ac:dyDescent="0.25">
      <c r="A62" s="34" t="s">
        <v>234</v>
      </c>
      <c r="B62" s="7">
        <v>38071</v>
      </c>
      <c r="C62" s="7">
        <v>39306</v>
      </c>
      <c r="D62" s="7"/>
      <c r="E62" s="3">
        <f t="shared" si="0"/>
        <v>1235</v>
      </c>
      <c r="F62" s="3"/>
    </row>
    <row r="63" spans="1:7" ht="15" x14ac:dyDescent="0.25">
      <c r="A63" s="34" t="s">
        <v>233</v>
      </c>
      <c r="B63" s="7">
        <v>38132</v>
      </c>
      <c r="C63" s="7">
        <v>39350</v>
      </c>
      <c r="D63" s="7"/>
      <c r="E63" s="3">
        <f t="shared" si="0"/>
        <v>1218</v>
      </c>
      <c r="F63" s="3"/>
    </row>
    <row r="64" spans="1:7" ht="15" x14ac:dyDescent="0.25">
      <c r="A64" s="34" t="s">
        <v>150</v>
      </c>
      <c r="B64" s="7">
        <v>38145</v>
      </c>
      <c r="C64" s="7">
        <v>39398</v>
      </c>
      <c r="D64" s="7"/>
      <c r="E64" s="3">
        <f t="shared" si="0"/>
        <v>1253</v>
      </c>
      <c r="F64" s="3"/>
    </row>
    <row r="65" spans="1:7" ht="15" x14ac:dyDescent="0.25">
      <c r="A65" s="7" t="s">
        <v>227</v>
      </c>
      <c r="B65" s="7">
        <v>38527</v>
      </c>
      <c r="C65" s="7">
        <v>39781</v>
      </c>
      <c r="D65" s="7">
        <v>39448</v>
      </c>
      <c r="E65" s="3">
        <f t="shared" si="0"/>
        <v>1254</v>
      </c>
      <c r="F65" s="3">
        <f t="shared" si="3"/>
        <v>921</v>
      </c>
      <c r="G65">
        <f>(C65-C61) - (D65-D61)</f>
        <v>-153</v>
      </c>
    </row>
    <row r="66" spans="1:7" ht="15" x14ac:dyDescent="0.25">
      <c r="A66" s="7" t="s">
        <v>228</v>
      </c>
      <c r="B66" s="7">
        <v>39151</v>
      </c>
      <c r="C66" s="7">
        <v>40405</v>
      </c>
      <c r="D66" s="7">
        <v>40072</v>
      </c>
      <c r="E66" s="3">
        <f t="shared" si="0"/>
        <v>1254</v>
      </c>
      <c r="F66" s="3">
        <f t="shared" si="3"/>
        <v>921</v>
      </c>
      <c r="G66">
        <f t="shared" si="2"/>
        <v>0</v>
      </c>
    </row>
    <row r="67" spans="1:7" ht="15" x14ac:dyDescent="0.25">
      <c r="A67" s="7" t="s">
        <v>229</v>
      </c>
      <c r="B67" s="9">
        <v>39334</v>
      </c>
      <c r="C67" s="9">
        <v>40588</v>
      </c>
      <c r="D67" s="9">
        <v>40256</v>
      </c>
      <c r="E67" s="3">
        <f t="shared" si="0"/>
        <v>1254</v>
      </c>
      <c r="F67" s="3">
        <f t="shared" si="3"/>
        <v>922</v>
      </c>
      <c r="G67">
        <f t="shared" si="2"/>
        <v>-1</v>
      </c>
    </row>
    <row r="68" spans="1:7" ht="15" x14ac:dyDescent="0.25">
      <c r="A68" s="7" t="s">
        <v>230</v>
      </c>
      <c r="B68" s="7">
        <v>39973</v>
      </c>
      <c r="C68" s="7">
        <v>41228</v>
      </c>
      <c r="D68" s="7">
        <v>40894</v>
      </c>
      <c r="E68" s="3">
        <f t="shared" si="0"/>
        <v>1255</v>
      </c>
      <c r="F68" s="3">
        <f t="shared" si="3"/>
        <v>921</v>
      </c>
      <c r="G68">
        <f t="shared" si="2"/>
        <v>2</v>
      </c>
    </row>
    <row r="69" spans="1:7" ht="15" x14ac:dyDescent="0.25">
      <c r="A69" s="7" t="s">
        <v>231</v>
      </c>
      <c r="B69" s="9">
        <v>40494</v>
      </c>
      <c r="C69" s="9">
        <v>41865</v>
      </c>
      <c r="D69" s="9">
        <v>41440</v>
      </c>
      <c r="E69" s="3">
        <f t="shared" si="0"/>
        <v>1371</v>
      </c>
      <c r="F69" s="3">
        <f t="shared" si="3"/>
        <v>946</v>
      </c>
      <c r="G69">
        <f t="shared" si="2"/>
        <v>91</v>
      </c>
    </row>
    <row r="70" spans="1:7" ht="15" x14ac:dyDescent="0.25">
      <c r="A70" s="7" t="s">
        <v>123</v>
      </c>
      <c r="B70" s="7">
        <v>41139</v>
      </c>
      <c r="C70" s="7">
        <v>42512</v>
      </c>
      <c r="D70" s="7">
        <v>42085</v>
      </c>
      <c r="E70" s="3">
        <f t="shared" si="0"/>
        <v>1373</v>
      </c>
      <c r="F70" s="3">
        <f t="shared" si="3"/>
        <v>946</v>
      </c>
      <c r="G70">
        <f t="shared" si="2"/>
        <v>2</v>
      </c>
    </row>
    <row r="71" spans="1:7" ht="15" x14ac:dyDescent="0.25">
      <c r="A71" s="7" t="s">
        <v>124</v>
      </c>
      <c r="B71" s="7">
        <v>41742</v>
      </c>
      <c r="C71" s="7">
        <v>43110</v>
      </c>
      <c r="D71" s="7">
        <v>42757</v>
      </c>
      <c r="E71" s="3">
        <f t="shared" si="0"/>
        <v>1368</v>
      </c>
      <c r="F71" s="3">
        <f t="shared" si="3"/>
        <v>1015</v>
      </c>
      <c r="G71">
        <f t="shared" si="2"/>
        <v>-74</v>
      </c>
    </row>
    <row r="72" spans="1:7" ht="15" x14ac:dyDescent="0.25">
      <c r="A72" s="5" t="s">
        <v>10</v>
      </c>
      <c r="B72" s="7">
        <v>42387</v>
      </c>
      <c r="C72" s="7">
        <v>43756</v>
      </c>
      <c r="D72" s="7">
        <v>43402</v>
      </c>
      <c r="E72" s="3">
        <f t="shared" si="0"/>
        <v>1369</v>
      </c>
      <c r="F72" s="3">
        <f t="shared" si="3"/>
        <v>1015</v>
      </c>
      <c r="G72">
        <f t="shared" ref="G72:G106" si="4">(C72-C71) - (D72-D71)</f>
        <v>1</v>
      </c>
    </row>
    <row r="73" spans="1:7" ht="15" x14ac:dyDescent="0.25">
      <c r="A73" s="5" t="s">
        <v>31</v>
      </c>
      <c r="B73" s="7">
        <v>43033</v>
      </c>
      <c r="C73" s="7">
        <v>44418</v>
      </c>
      <c r="D73" s="7">
        <v>44061</v>
      </c>
      <c r="E73" s="3">
        <f t="shared" ref="E73:E141" si="5">IF(C73&lt;&gt;"",IF(B73&lt;&gt;"",C73-B73,"-"), "-")</f>
        <v>1385</v>
      </c>
      <c r="F73" s="3">
        <f t="shared" si="3"/>
        <v>1028</v>
      </c>
      <c r="G73">
        <f t="shared" si="4"/>
        <v>3</v>
      </c>
    </row>
    <row r="74" spans="1:7" ht="15" x14ac:dyDescent="0.25">
      <c r="A74" s="5" t="s">
        <v>11</v>
      </c>
      <c r="B74" s="7">
        <v>43693</v>
      </c>
      <c r="C74" s="7">
        <v>45078</v>
      </c>
      <c r="D74" s="7">
        <v>44720</v>
      </c>
      <c r="E74" s="3">
        <f t="shared" si="5"/>
        <v>1385</v>
      </c>
      <c r="F74" s="3">
        <f t="shared" si="3"/>
        <v>1027</v>
      </c>
      <c r="G74">
        <f t="shared" si="4"/>
        <v>1</v>
      </c>
    </row>
    <row r="75" spans="1:7" ht="15" x14ac:dyDescent="0.25">
      <c r="A75" s="5" t="s">
        <v>30</v>
      </c>
      <c r="B75" s="7">
        <v>44329</v>
      </c>
      <c r="C75" s="7">
        <v>45719</v>
      </c>
      <c r="D75" s="7">
        <v>45363</v>
      </c>
      <c r="E75" s="3">
        <f t="shared" si="5"/>
        <v>1390</v>
      </c>
      <c r="F75" s="3">
        <f t="shared" si="3"/>
        <v>1034</v>
      </c>
      <c r="G75">
        <f t="shared" si="4"/>
        <v>-2</v>
      </c>
    </row>
    <row r="76" spans="1:7" ht="15" x14ac:dyDescent="0.25">
      <c r="A76" s="5" t="s">
        <v>12</v>
      </c>
      <c r="B76" s="7">
        <v>44988</v>
      </c>
      <c r="C76" s="7">
        <v>46384</v>
      </c>
      <c r="D76" s="7">
        <v>46022</v>
      </c>
      <c r="E76" s="3">
        <f t="shared" si="5"/>
        <v>1396</v>
      </c>
      <c r="F76" s="3">
        <f t="shared" si="3"/>
        <v>1034</v>
      </c>
      <c r="G76">
        <f t="shared" si="4"/>
        <v>6</v>
      </c>
    </row>
    <row r="77" spans="1:7" ht="15" x14ac:dyDescent="0.25">
      <c r="A77" s="5" t="s">
        <v>32</v>
      </c>
      <c r="B77" s="7">
        <v>45587</v>
      </c>
      <c r="C77" s="7">
        <v>46984</v>
      </c>
      <c r="D77" s="33">
        <v>46679</v>
      </c>
      <c r="E77" s="3">
        <f t="shared" si="5"/>
        <v>1397</v>
      </c>
      <c r="F77" s="3">
        <f t="shared" si="3"/>
        <v>1092</v>
      </c>
      <c r="G77">
        <f t="shared" si="4"/>
        <v>-57</v>
      </c>
    </row>
    <row r="78" spans="1:7" ht="15" x14ac:dyDescent="0.25">
      <c r="A78" s="5" t="s">
        <v>13</v>
      </c>
      <c r="B78" s="7">
        <v>46248</v>
      </c>
      <c r="C78" s="7">
        <v>47629</v>
      </c>
      <c r="D78" s="7">
        <v>47338</v>
      </c>
      <c r="E78" s="3">
        <f t="shared" si="5"/>
        <v>1381</v>
      </c>
      <c r="F78" s="3">
        <f t="shared" si="3"/>
        <v>1090</v>
      </c>
      <c r="G78">
        <f t="shared" si="4"/>
        <v>-14</v>
      </c>
    </row>
    <row r="79" spans="1:7" ht="15" x14ac:dyDescent="0.25">
      <c r="A79" s="7" t="s">
        <v>47</v>
      </c>
      <c r="B79" s="7">
        <v>47029</v>
      </c>
      <c r="C79" s="7">
        <v>48410</v>
      </c>
      <c r="D79" s="7">
        <v>48121</v>
      </c>
      <c r="E79" s="3">
        <f t="shared" si="5"/>
        <v>1381</v>
      </c>
      <c r="F79" s="3">
        <f t="shared" si="3"/>
        <v>1092</v>
      </c>
      <c r="G79">
        <f t="shared" si="4"/>
        <v>-2</v>
      </c>
    </row>
    <row r="80" spans="1:7" ht="15" x14ac:dyDescent="0.25">
      <c r="A80" s="7" t="s">
        <v>48</v>
      </c>
      <c r="B80" s="7">
        <v>47527</v>
      </c>
      <c r="C80" s="7">
        <v>48908</v>
      </c>
      <c r="D80" s="7">
        <v>48619</v>
      </c>
      <c r="E80" s="3">
        <f t="shared" si="5"/>
        <v>1381</v>
      </c>
      <c r="F80" s="3">
        <f t="shared" si="3"/>
        <v>1092</v>
      </c>
      <c r="G80">
        <f t="shared" si="4"/>
        <v>0</v>
      </c>
    </row>
    <row r="81" spans="1:7" ht="15" x14ac:dyDescent="0.25">
      <c r="A81" s="34" t="s">
        <v>235</v>
      </c>
      <c r="B81" s="7">
        <v>48010</v>
      </c>
      <c r="C81" s="7">
        <v>48019</v>
      </c>
      <c r="D81" s="7"/>
      <c r="E81" s="3">
        <f t="shared" si="5"/>
        <v>9</v>
      </c>
      <c r="F81" s="3"/>
    </row>
    <row r="82" spans="1:7" ht="15" x14ac:dyDescent="0.25">
      <c r="A82" s="7" t="s">
        <v>33</v>
      </c>
      <c r="B82" s="7">
        <v>48393</v>
      </c>
      <c r="C82" s="7">
        <v>49856</v>
      </c>
      <c r="D82" s="7">
        <v>49502</v>
      </c>
      <c r="E82" s="3">
        <f t="shared" si="5"/>
        <v>1463</v>
      </c>
      <c r="F82" s="3">
        <f t="shared" si="3"/>
        <v>1109</v>
      </c>
      <c r="G82">
        <f>(C82-C80) - (D82-D80)</f>
        <v>65</v>
      </c>
    </row>
    <row r="83" spans="1:7" ht="15" x14ac:dyDescent="0.25">
      <c r="A83" s="5" t="s">
        <v>14</v>
      </c>
      <c r="B83" s="7">
        <v>49053</v>
      </c>
      <c r="C83" s="7">
        <v>50516</v>
      </c>
      <c r="D83" s="7">
        <v>50148</v>
      </c>
      <c r="E83" s="3">
        <f t="shared" si="5"/>
        <v>1463</v>
      </c>
      <c r="F83" s="3">
        <f t="shared" si="3"/>
        <v>1095</v>
      </c>
      <c r="G83">
        <f t="shared" si="4"/>
        <v>14</v>
      </c>
    </row>
    <row r="84" spans="1:7" ht="15" x14ac:dyDescent="0.25">
      <c r="A84" s="5" t="s">
        <v>34</v>
      </c>
      <c r="B84" s="7">
        <v>49311</v>
      </c>
      <c r="C84" s="7">
        <v>50874</v>
      </c>
      <c r="D84" s="7">
        <v>50417</v>
      </c>
      <c r="E84" s="3">
        <f t="shared" si="5"/>
        <v>1563</v>
      </c>
      <c r="F84" s="3">
        <f t="shared" si="3"/>
        <v>1106</v>
      </c>
      <c r="G84">
        <f t="shared" si="4"/>
        <v>89</v>
      </c>
    </row>
    <row r="85" spans="1:7" ht="15" x14ac:dyDescent="0.25">
      <c r="A85" s="5" t="s">
        <v>15</v>
      </c>
      <c r="B85" s="7">
        <v>49911</v>
      </c>
      <c r="C85" s="7">
        <v>51486</v>
      </c>
      <c r="D85" s="7">
        <v>51016</v>
      </c>
      <c r="E85" s="3">
        <f t="shared" si="5"/>
        <v>1575</v>
      </c>
      <c r="F85" s="3">
        <f t="shared" si="3"/>
        <v>1105</v>
      </c>
      <c r="G85">
        <f t="shared" si="4"/>
        <v>13</v>
      </c>
    </row>
    <row r="86" spans="1:7" ht="15" x14ac:dyDescent="0.25">
      <c r="A86" s="5" t="s">
        <v>35</v>
      </c>
      <c r="B86" s="7">
        <v>50889</v>
      </c>
      <c r="C86" s="7">
        <v>52507</v>
      </c>
      <c r="D86" s="7">
        <v>52007</v>
      </c>
      <c r="E86" s="3">
        <f t="shared" si="5"/>
        <v>1618</v>
      </c>
      <c r="F86" s="3">
        <f t="shared" si="3"/>
        <v>1118</v>
      </c>
      <c r="G86">
        <f t="shared" si="4"/>
        <v>30</v>
      </c>
    </row>
    <row r="87" spans="1:7" ht="15" x14ac:dyDescent="0.25">
      <c r="A87" s="5" t="s">
        <v>16</v>
      </c>
      <c r="B87" s="7">
        <v>51535</v>
      </c>
      <c r="C87" s="7">
        <v>53153</v>
      </c>
      <c r="D87" s="7">
        <v>52667</v>
      </c>
      <c r="E87" s="3">
        <f t="shared" si="5"/>
        <v>1618</v>
      </c>
      <c r="F87" s="3">
        <f t="shared" si="3"/>
        <v>1132</v>
      </c>
      <c r="G87">
        <f t="shared" si="4"/>
        <v>-14</v>
      </c>
    </row>
    <row r="88" spans="1:7" ht="15" x14ac:dyDescent="0.25">
      <c r="A88" s="5" t="s">
        <v>36</v>
      </c>
      <c r="B88" s="7">
        <v>52312</v>
      </c>
      <c r="C88" s="7">
        <v>53942</v>
      </c>
      <c r="D88" s="7">
        <v>53473</v>
      </c>
      <c r="E88" s="3">
        <f t="shared" si="5"/>
        <v>1630</v>
      </c>
      <c r="F88" s="3">
        <f t="shared" si="3"/>
        <v>1161</v>
      </c>
      <c r="G88">
        <f t="shared" si="4"/>
        <v>-17</v>
      </c>
    </row>
    <row r="89" spans="1:7" ht="15" x14ac:dyDescent="0.25">
      <c r="A89" s="5" t="s">
        <v>17</v>
      </c>
      <c r="B89" s="7">
        <v>52934</v>
      </c>
      <c r="C89" s="7">
        <v>54564</v>
      </c>
      <c r="D89" s="7">
        <v>54095</v>
      </c>
      <c r="E89" s="3">
        <f t="shared" si="5"/>
        <v>1630</v>
      </c>
      <c r="F89" s="3">
        <f t="shared" si="3"/>
        <v>1161</v>
      </c>
      <c r="G89">
        <f t="shared" si="4"/>
        <v>0</v>
      </c>
    </row>
    <row r="90" spans="1:7" ht="15" x14ac:dyDescent="0.25">
      <c r="A90" s="5" t="s">
        <v>37</v>
      </c>
      <c r="B90" s="7">
        <v>53936</v>
      </c>
      <c r="C90" s="7">
        <v>55596</v>
      </c>
      <c r="D90" s="7">
        <v>55108</v>
      </c>
      <c r="E90" s="3">
        <f t="shared" si="5"/>
        <v>1660</v>
      </c>
      <c r="F90" s="3">
        <f t="shared" si="3"/>
        <v>1172</v>
      </c>
      <c r="G90">
        <f>(C90-C89) - (D90-D89)</f>
        <v>19</v>
      </c>
    </row>
    <row r="91" spans="1:7" ht="15" x14ac:dyDescent="0.25">
      <c r="A91" s="5" t="s">
        <v>18</v>
      </c>
      <c r="B91" s="7">
        <v>54526</v>
      </c>
      <c r="C91" s="7">
        <v>56185</v>
      </c>
      <c r="D91" s="7">
        <v>55708</v>
      </c>
      <c r="E91" s="3">
        <f t="shared" si="5"/>
        <v>1659</v>
      </c>
      <c r="F91" s="3">
        <f t="shared" si="3"/>
        <v>1182</v>
      </c>
      <c r="G91">
        <f t="shared" si="4"/>
        <v>-11</v>
      </c>
    </row>
    <row r="92" spans="1:7" ht="15" x14ac:dyDescent="0.25">
      <c r="A92" s="5" t="s">
        <v>38</v>
      </c>
      <c r="B92" s="7">
        <v>54878</v>
      </c>
      <c r="C92" s="7">
        <v>56572</v>
      </c>
      <c r="D92" s="7">
        <v>56104</v>
      </c>
      <c r="E92" s="3">
        <f t="shared" si="5"/>
        <v>1694</v>
      </c>
      <c r="F92" s="3">
        <f t="shared" si="3"/>
        <v>1226</v>
      </c>
      <c r="G92">
        <f t="shared" si="4"/>
        <v>-9</v>
      </c>
    </row>
    <row r="93" spans="1:7" ht="15" x14ac:dyDescent="0.25">
      <c r="A93" s="5" t="s">
        <v>19</v>
      </c>
      <c r="B93" s="7">
        <v>55524</v>
      </c>
      <c r="C93" s="7">
        <v>57217</v>
      </c>
      <c r="D93" s="7">
        <v>56749</v>
      </c>
      <c r="E93" s="3">
        <f t="shared" si="5"/>
        <v>1693</v>
      </c>
      <c r="F93" s="3">
        <f t="shared" si="3"/>
        <v>1225</v>
      </c>
      <c r="G93">
        <f t="shared" si="4"/>
        <v>0</v>
      </c>
    </row>
    <row r="94" spans="1:7" ht="15" x14ac:dyDescent="0.25">
      <c r="A94" s="5" t="s">
        <v>39</v>
      </c>
      <c r="B94" s="7">
        <v>56204</v>
      </c>
      <c r="C94" s="7">
        <v>58008</v>
      </c>
      <c r="D94" s="7">
        <v>57450</v>
      </c>
      <c r="E94" s="3">
        <f t="shared" si="5"/>
        <v>1804</v>
      </c>
      <c r="F94" s="3">
        <f t="shared" si="3"/>
        <v>1246</v>
      </c>
      <c r="G94">
        <f>(C94-C93) - (D94-D93)</f>
        <v>90</v>
      </c>
    </row>
    <row r="95" spans="1:7" ht="15" x14ac:dyDescent="0.25">
      <c r="A95" s="5" t="s">
        <v>20</v>
      </c>
      <c r="B95" s="7">
        <v>56804</v>
      </c>
      <c r="C95" s="7">
        <v>58608</v>
      </c>
      <c r="D95" s="7">
        <v>58050</v>
      </c>
      <c r="E95" s="3">
        <f t="shared" si="5"/>
        <v>1804</v>
      </c>
      <c r="F95" s="3">
        <f t="shared" si="3"/>
        <v>1246</v>
      </c>
      <c r="G95">
        <f t="shared" si="4"/>
        <v>0</v>
      </c>
    </row>
    <row r="96" spans="1:7" ht="15" x14ac:dyDescent="0.25">
      <c r="A96" s="5" t="s">
        <v>40</v>
      </c>
      <c r="B96" s="7">
        <v>57359</v>
      </c>
      <c r="C96" s="7">
        <v>59190</v>
      </c>
      <c r="D96" s="7">
        <v>58612</v>
      </c>
      <c r="E96" s="3">
        <f t="shared" si="5"/>
        <v>1831</v>
      </c>
      <c r="F96" s="3">
        <f t="shared" si="3"/>
        <v>1253</v>
      </c>
      <c r="G96">
        <f t="shared" si="4"/>
        <v>20</v>
      </c>
    </row>
    <row r="97" spans="1:7" ht="15" x14ac:dyDescent="0.25">
      <c r="A97" s="5" t="s">
        <v>21</v>
      </c>
      <c r="B97" s="7">
        <v>57995</v>
      </c>
      <c r="C97" s="7">
        <v>59828</v>
      </c>
      <c r="D97" s="7">
        <v>59247</v>
      </c>
      <c r="E97" s="3">
        <f t="shared" si="5"/>
        <v>1833</v>
      </c>
      <c r="F97" s="3">
        <f t="shared" si="3"/>
        <v>1252</v>
      </c>
      <c r="G97">
        <f t="shared" si="4"/>
        <v>3</v>
      </c>
    </row>
    <row r="98" spans="1:7" ht="15" x14ac:dyDescent="0.25">
      <c r="A98" s="5" t="s">
        <v>41</v>
      </c>
      <c r="B98" s="7">
        <v>58575</v>
      </c>
      <c r="C98" s="7">
        <v>60441</v>
      </c>
      <c r="D98" s="7">
        <v>59838</v>
      </c>
      <c r="E98" s="3">
        <f t="shared" si="5"/>
        <v>1866</v>
      </c>
      <c r="F98" s="3">
        <f t="shared" si="3"/>
        <v>1263</v>
      </c>
      <c r="G98">
        <f>(C98-C97) - (D98-D97)</f>
        <v>22</v>
      </c>
    </row>
    <row r="99" spans="1:7" ht="15" x14ac:dyDescent="0.25">
      <c r="A99" s="5" t="s">
        <v>22</v>
      </c>
      <c r="B99" s="7">
        <v>59227</v>
      </c>
      <c r="C99" s="7">
        <v>61093</v>
      </c>
      <c r="D99" s="7">
        <v>60490</v>
      </c>
      <c r="E99" s="3">
        <f t="shared" si="5"/>
        <v>1866</v>
      </c>
      <c r="F99" s="3">
        <f t="shared" si="3"/>
        <v>1263</v>
      </c>
      <c r="G99">
        <f t="shared" si="4"/>
        <v>0</v>
      </c>
    </row>
    <row r="100" spans="1:7" ht="15" x14ac:dyDescent="0.25">
      <c r="A100" s="5" t="s">
        <v>42</v>
      </c>
      <c r="B100" s="10">
        <v>60018</v>
      </c>
      <c r="C100" s="10">
        <v>61914</v>
      </c>
      <c r="D100" s="10">
        <v>61295</v>
      </c>
      <c r="E100" s="3">
        <f t="shared" si="5"/>
        <v>1896</v>
      </c>
      <c r="F100" s="3">
        <f t="shared" si="3"/>
        <v>1277</v>
      </c>
      <c r="G100">
        <f t="shared" si="4"/>
        <v>16</v>
      </c>
    </row>
    <row r="101" spans="1:7" ht="15" x14ac:dyDescent="0.25">
      <c r="A101" s="5" t="s">
        <v>23</v>
      </c>
      <c r="B101" s="7">
        <v>60663</v>
      </c>
      <c r="C101" s="7">
        <v>62575</v>
      </c>
      <c r="D101" s="7">
        <v>61940</v>
      </c>
      <c r="E101" s="3">
        <f t="shared" si="5"/>
        <v>1912</v>
      </c>
      <c r="F101" s="3">
        <f t="shared" si="3"/>
        <v>1277</v>
      </c>
      <c r="G101">
        <f t="shared" si="4"/>
        <v>16</v>
      </c>
    </row>
    <row r="102" spans="1:7" ht="15" x14ac:dyDescent="0.25">
      <c r="A102" s="35" t="s">
        <v>127</v>
      </c>
      <c r="B102" s="7">
        <v>60822</v>
      </c>
      <c r="C102" s="7">
        <v>62732</v>
      </c>
      <c r="D102" s="7">
        <v>62103</v>
      </c>
      <c r="E102" s="3">
        <f t="shared" si="5"/>
        <v>1910</v>
      </c>
      <c r="F102" s="3">
        <f t="shared" si="3"/>
        <v>1281</v>
      </c>
    </row>
    <row r="103" spans="1:7" ht="15" x14ac:dyDescent="0.25">
      <c r="A103" s="5" t="s">
        <v>43</v>
      </c>
      <c r="B103" s="7">
        <v>61231</v>
      </c>
      <c r="C103" s="7">
        <v>63180</v>
      </c>
      <c r="D103" s="7">
        <v>62513</v>
      </c>
      <c r="E103" s="3">
        <f t="shared" si="5"/>
        <v>1949</v>
      </c>
      <c r="F103" s="3">
        <f t="shared" si="3"/>
        <v>1282</v>
      </c>
      <c r="G103">
        <f>(C103-C101) - (D103-D101)</f>
        <v>32</v>
      </c>
    </row>
    <row r="104" spans="1:7" ht="15" x14ac:dyDescent="0.25">
      <c r="A104" s="5" t="s">
        <v>24</v>
      </c>
      <c r="B104" s="7">
        <v>61891</v>
      </c>
      <c r="C104" s="7">
        <v>63825</v>
      </c>
      <c r="D104" s="7">
        <v>63172</v>
      </c>
      <c r="E104" s="3">
        <f t="shared" si="5"/>
        <v>1934</v>
      </c>
      <c r="F104" s="3">
        <f t="shared" si="3"/>
        <v>1281</v>
      </c>
      <c r="G104">
        <f t="shared" si="4"/>
        <v>-14</v>
      </c>
    </row>
    <row r="105" spans="1:7" ht="15" x14ac:dyDescent="0.25">
      <c r="A105" s="5" t="s">
        <v>44</v>
      </c>
      <c r="B105" s="7">
        <v>62598</v>
      </c>
      <c r="C105" s="7">
        <v>64581</v>
      </c>
      <c r="D105" s="7">
        <v>63896</v>
      </c>
      <c r="E105" s="3">
        <f t="shared" si="5"/>
        <v>1983</v>
      </c>
      <c r="F105" s="3">
        <f t="shared" si="3"/>
        <v>1298</v>
      </c>
      <c r="G105">
        <f t="shared" si="4"/>
        <v>32</v>
      </c>
    </row>
    <row r="106" spans="1:7" ht="15" x14ac:dyDescent="0.25">
      <c r="A106" s="5" t="s">
        <v>25</v>
      </c>
      <c r="B106" s="7">
        <v>63243</v>
      </c>
      <c r="C106" s="7">
        <v>65231</v>
      </c>
      <c r="D106" s="7">
        <v>64541</v>
      </c>
      <c r="E106" s="3">
        <f t="shared" si="5"/>
        <v>1988</v>
      </c>
      <c r="F106" s="3">
        <f t="shared" si="3"/>
        <v>1298</v>
      </c>
      <c r="G106">
        <f t="shared" si="4"/>
        <v>5</v>
      </c>
    </row>
    <row r="107" spans="1:7" ht="15" x14ac:dyDescent="0.25">
      <c r="A107" s="5"/>
      <c r="B107" s="7">
        <v>63497</v>
      </c>
      <c r="C107" s="7"/>
      <c r="D107" s="7">
        <v>64796</v>
      </c>
      <c r="E107" s="3"/>
      <c r="F107" s="3">
        <f t="shared" si="3"/>
        <v>1299</v>
      </c>
    </row>
    <row r="108" spans="1:7" ht="15" x14ac:dyDescent="0.25">
      <c r="A108" s="5"/>
      <c r="B108" s="7">
        <v>63552</v>
      </c>
      <c r="C108" s="7"/>
      <c r="D108" s="7">
        <v>64843</v>
      </c>
      <c r="E108" s="3"/>
      <c r="F108" s="3">
        <f t="shared" si="3"/>
        <v>1291</v>
      </c>
    </row>
    <row r="109" spans="1:7" ht="15" x14ac:dyDescent="0.25">
      <c r="A109" s="5"/>
      <c r="B109" s="7">
        <v>63603</v>
      </c>
      <c r="C109" s="7"/>
      <c r="D109" s="7">
        <v>64877</v>
      </c>
      <c r="E109" s="3"/>
      <c r="F109" s="3">
        <f t="shared" si="3"/>
        <v>1274</v>
      </c>
    </row>
    <row r="110" spans="1:7" ht="15" x14ac:dyDescent="0.25">
      <c r="A110" s="5" t="s">
        <v>26</v>
      </c>
      <c r="B110" s="7">
        <v>63782</v>
      </c>
      <c r="C110" s="7">
        <v>65820</v>
      </c>
      <c r="D110" s="7">
        <v>65084</v>
      </c>
      <c r="E110" s="3">
        <f t="shared" si="5"/>
        <v>2038</v>
      </c>
      <c r="F110" s="3">
        <f t="shared" si="3"/>
        <v>1302</v>
      </c>
      <c r="G110">
        <f>(C110-C106) - (D110-D106)</f>
        <v>46</v>
      </c>
    </row>
    <row r="111" spans="1:7" ht="15" x14ac:dyDescent="0.25">
      <c r="A111" s="7"/>
      <c r="B111" s="7"/>
      <c r="C111" s="7"/>
      <c r="D111" s="7"/>
      <c r="E111" s="3" t="str">
        <f t="shared" si="5"/>
        <v>-</v>
      </c>
      <c r="F111" s="3" t="str">
        <f t="shared" si="3"/>
        <v>-</v>
      </c>
    </row>
    <row r="112" spans="1:7" ht="15" x14ac:dyDescent="0.25">
      <c r="A112" s="7"/>
      <c r="B112" s="7"/>
      <c r="C112" s="7"/>
      <c r="D112" s="7"/>
      <c r="E112" s="3" t="str">
        <f t="shared" si="5"/>
        <v>-</v>
      </c>
      <c r="F112" s="3" t="str">
        <f t="shared" si="3"/>
        <v>-</v>
      </c>
    </row>
    <row r="113" spans="1:6" ht="15" x14ac:dyDescent="0.25">
      <c r="A113" s="7"/>
      <c r="B113" s="7"/>
      <c r="C113" s="7"/>
      <c r="D113" s="7"/>
      <c r="E113" s="3" t="str">
        <f t="shared" si="5"/>
        <v>-</v>
      </c>
      <c r="F113" s="3" t="str">
        <f t="shared" si="3"/>
        <v>-</v>
      </c>
    </row>
    <row r="114" spans="1:6" ht="15" x14ac:dyDescent="0.25">
      <c r="A114" s="7"/>
      <c r="B114" s="7"/>
      <c r="C114" s="7"/>
      <c r="D114" s="7"/>
      <c r="E114" s="3" t="str">
        <f t="shared" si="5"/>
        <v>-</v>
      </c>
      <c r="F114" s="3" t="str">
        <f t="shared" si="3"/>
        <v>-</v>
      </c>
    </row>
    <row r="115" spans="1:6" ht="15" x14ac:dyDescent="0.25">
      <c r="A115" s="7"/>
      <c r="B115" s="7"/>
      <c r="C115" s="7"/>
      <c r="D115" s="7"/>
      <c r="E115" s="3" t="str">
        <f t="shared" si="5"/>
        <v>-</v>
      </c>
      <c r="F115" s="3" t="str">
        <f t="shared" si="3"/>
        <v>-</v>
      </c>
    </row>
    <row r="116" spans="1:6" ht="15" x14ac:dyDescent="0.25">
      <c r="A116" s="7"/>
      <c r="B116" s="7"/>
      <c r="C116" s="7"/>
      <c r="D116" s="7"/>
      <c r="E116" s="3" t="str">
        <f t="shared" si="5"/>
        <v>-</v>
      </c>
      <c r="F116" s="3" t="str">
        <f t="shared" si="3"/>
        <v>-</v>
      </c>
    </row>
    <row r="117" spans="1:6" ht="15" x14ac:dyDescent="0.25">
      <c r="A117" s="7"/>
      <c r="B117" s="7"/>
      <c r="C117" s="7"/>
      <c r="D117" s="7"/>
      <c r="E117" s="3" t="str">
        <f t="shared" si="5"/>
        <v>-</v>
      </c>
      <c r="F117" s="3" t="str">
        <f t="shared" si="3"/>
        <v>-</v>
      </c>
    </row>
    <row r="118" spans="1:6" ht="15" x14ac:dyDescent="0.25">
      <c r="A118" s="7"/>
      <c r="B118" s="7"/>
      <c r="C118" s="7"/>
      <c r="D118" s="7"/>
      <c r="E118" s="3" t="str">
        <f t="shared" si="5"/>
        <v>-</v>
      </c>
      <c r="F118" s="3" t="str">
        <f t="shared" si="3"/>
        <v>-</v>
      </c>
    </row>
    <row r="119" spans="1:6" ht="15" x14ac:dyDescent="0.25">
      <c r="A119" s="7"/>
      <c r="B119" s="7"/>
      <c r="C119" s="7"/>
      <c r="D119" s="7"/>
      <c r="E119" s="3" t="str">
        <f t="shared" si="5"/>
        <v>-</v>
      </c>
      <c r="F119" s="3" t="str">
        <f t="shared" si="3"/>
        <v>-</v>
      </c>
    </row>
    <row r="120" spans="1:6" ht="15" x14ac:dyDescent="0.25">
      <c r="A120" s="7"/>
      <c r="B120" s="7"/>
      <c r="C120" s="7"/>
      <c r="D120" s="7"/>
      <c r="E120" s="3" t="str">
        <f t="shared" si="5"/>
        <v>-</v>
      </c>
      <c r="F120" s="3" t="str">
        <f t="shared" si="3"/>
        <v>-</v>
      </c>
    </row>
    <row r="121" spans="1:6" ht="15" x14ac:dyDescent="0.25">
      <c r="A121" s="7"/>
      <c r="B121" s="7"/>
      <c r="C121" s="7"/>
      <c r="D121" s="7"/>
      <c r="E121" s="3" t="str">
        <f t="shared" si="5"/>
        <v>-</v>
      </c>
      <c r="F121" s="3" t="str">
        <f t="shared" si="3"/>
        <v>-</v>
      </c>
    </row>
    <row r="122" spans="1:6" ht="15" x14ac:dyDescent="0.25">
      <c r="A122" s="7"/>
      <c r="B122" s="7"/>
      <c r="C122" s="7"/>
      <c r="D122" s="7"/>
      <c r="E122" s="3" t="str">
        <f t="shared" si="5"/>
        <v>-</v>
      </c>
      <c r="F122" s="3" t="str">
        <f t="shared" si="3"/>
        <v>-</v>
      </c>
    </row>
    <row r="123" spans="1:6" ht="15" x14ac:dyDescent="0.25">
      <c r="A123" s="7"/>
      <c r="B123" s="7"/>
      <c r="C123" s="7"/>
      <c r="D123" s="7"/>
      <c r="E123" s="3" t="str">
        <f t="shared" si="5"/>
        <v>-</v>
      </c>
      <c r="F123" s="3" t="str">
        <f t="shared" si="3"/>
        <v>-</v>
      </c>
    </row>
    <row r="124" spans="1:6" ht="15" x14ac:dyDescent="0.25">
      <c r="A124" s="7"/>
      <c r="B124" s="7"/>
      <c r="C124" s="7"/>
      <c r="D124" s="7"/>
      <c r="E124" s="3" t="str">
        <f t="shared" si="5"/>
        <v>-</v>
      </c>
      <c r="F124" s="3" t="str">
        <f t="shared" si="3"/>
        <v>-</v>
      </c>
    </row>
    <row r="125" spans="1:6" ht="15" x14ac:dyDescent="0.25">
      <c r="A125" s="7"/>
      <c r="B125" s="7"/>
      <c r="C125" s="7"/>
      <c r="D125" s="7"/>
      <c r="E125" s="3" t="str">
        <f t="shared" si="5"/>
        <v>-</v>
      </c>
      <c r="F125" s="3" t="str">
        <f t="shared" si="3"/>
        <v>-</v>
      </c>
    </row>
    <row r="126" spans="1:6" ht="15" x14ac:dyDescent="0.25">
      <c r="A126" s="7"/>
      <c r="B126" s="7"/>
      <c r="C126" s="7"/>
      <c r="D126" s="7"/>
      <c r="E126" s="3" t="str">
        <f t="shared" si="5"/>
        <v>-</v>
      </c>
      <c r="F126" s="3" t="str">
        <f t="shared" si="3"/>
        <v>-</v>
      </c>
    </row>
    <row r="127" spans="1:6" ht="15" x14ac:dyDescent="0.25">
      <c r="A127" s="7"/>
      <c r="B127" s="7"/>
      <c r="C127" s="7"/>
      <c r="D127" s="7"/>
      <c r="E127" s="3" t="str">
        <f t="shared" si="5"/>
        <v>-</v>
      </c>
      <c r="F127" s="3" t="str">
        <f t="shared" ref="F127:F130" si="6">IF(D127&lt;&gt;"",IF(B127&lt;&gt;"",D127-B127,"-"), "-")</f>
        <v>-</v>
      </c>
    </row>
    <row r="128" spans="1:6" ht="15" x14ac:dyDescent="0.25">
      <c r="A128" s="7"/>
      <c r="B128" s="7"/>
      <c r="C128" s="7"/>
      <c r="D128" s="7"/>
      <c r="E128" s="3" t="str">
        <f t="shared" si="5"/>
        <v>-</v>
      </c>
      <c r="F128" s="3" t="str">
        <f t="shared" si="6"/>
        <v>-</v>
      </c>
    </row>
    <row r="129" spans="1:6" ht="15" x14ac:dyDescent="0.25">
      <c r="A129" s="7"/>
      <c r="B129" s="7"/>
      <c r="C129" s="7"/>
      <c r="D129" s="7"/>
      <c r="E129" s="3" t="str">
        <f t="shared" si="5"/>
        <v>-</v>
      </c>
      <c r="F129" s="3" t="str">
        <f t="shared" si="6"/>
        <v>-</v>
      </c>
    </row>
    <row r="130" spans="1:6" ht="15" x14ac:dyDescent="0.25">
      <c r="A130" s="7"/>
      <c r="B130" s="7"/>
      <c r="C130" s="7"/>
      <c r="D130" s="7"/>
      <c r="E130" s="3" t="str">
        <f t="shared" si="5"/>
        <v>-</v>
      </c>
      <c r="F130" s="3" t="str">
        <f t="shared" si="6"/>
        <v>-</v>
      </c>
    </row>
    <row r="131" spans="1:6" ht="15" x14ac:dyDescent="0.25">
      <c r="A131" s="7"/>
      <c r="B131" s="7"/>
      <c r="C131" s="7"/>
      <c r="D131" s="7"/>
      <c r="E131" s="3" t="str">
        <f t="shared" si="5"/>
        <v>-</v>
      </c>
    </row>
    <row r="132" spans="1:6" ht="15" x14ac:dyDescent="0.25">
      <c r="A132" s="7"/>
      <c r="B132" s="7"/>
      <c r="C132" s="7"/>
      <c r="D132" s="7"/>
      <c r="E132" s="3" t="str">
        <f t="shared" si="5"/>
        <v>-</v>
      </c>
    </row>
    <row r="133" spans="1:6" ht="15" x14ac:dyDescent="0.25">
      <c r="A133" s="7"/>
      <c r="B133" s="7"/>
      <c r="C133" s="7"/>
      <c r="D133" s="7"/>
      <c r="E133" s="3" t="str">
        <f t="shared" si="5"/>
        <v>-</v>
      </c>
    </row>
    <row r="134" spans="1:6" ht="15" x14ac:dyDescent="0.25">
      <c r="A134" s="7"/>
      <c r="B134" s="7"/>
      <c r="C134" s="7"/>
      <c r="D134" s="7"/>
      <c r="E134" s="3" t="str">
        <f t="shared" si="5"/>
        <v>-</v>
      </c>
    </row>
    <row r="135" spans="1:6" ht="15" x14ac:dyDescent="0.25">
      <c r="A135" s="7"/>
      <c r="B135" s="7"/>
      <c r="C135" s="7"/>
      <c r="D135" s="7"/>
      <c r="E135" s="3" t="str">
        <f t="shared" si="5"/>
        <v>-</v>
      </c>
    </row>
    <row r="136" spans="1:6" ht="15" x14ac:dyDescent="0.25">
      <c r="A136" s="7"/>
      <c r="B136" s="7"/>
      <c r="C136" s="7"/>
      <c r="D136" s="7"/>
      <c r="E136" s="3" t="str">
        <f t="shared" si="5"/>
        <v>-</v>
      </c>
    </row>
    <row r="137" spans="1:6" ht="15" x14ac:dyDescent="0.25">
      <c r="A137" s="7"/>
      <c r="B137" s="7"/>
      <c r="C137" s="7"/>
      <c r="D137" s="7"/>
      <c r="E137" s="3" t="str">
        <f t="shared" si="5"/>
        <v>-</v>
      </c>
    </row>
    <row r="138" spans="1:6" ht="15" x14ac:dyDescent="0.25">
      <c r="A138" s="7"/>
      <c r="B138" s="7"/>
      <c r="C138" s="7"/>
      <c r="D138" s="7"/>
      <c r="E138" s="3" t="str">
        <f t="shared" si="5"/>
        <v>-</v>
      </c>
    </row>
    <row r="139" spans="1:6" ht="15" x14ac:dyDescent="0.25">
      <c r="A139" s="7"/>
      <c r="B139" s="7"/>
      <c r="C139" s="7"/>
      <c r="D139" s="7"/>
      <c r="E139" s="3" t="str">
        <f t="shared" si="5"/>
        <v>-</v>
      </c>
    </row>
    <row r="140" spans="1:6" ht="15" x14ac:dyDescent="0.25">
      <c r="A140" s="7"/>
      <c r="B140" s="7"/>
      <c r="C140" s="7"/>
      <c r="D140" s="7"/>
      <c r="E140" s="3" t="str">
        <f t="shared" si="5"/>
        <v>-</v>
      </c>
    </row>
    <row r="141" spans="1:6" ht="15" x14ac:dyDescent="0.25">
      <c r="A141" s="7"/>
      <c r="B141" s="7"/>
      <c r="C141" s="7"/>
      <c r="D141" s="7"/>
      <c r="E141" s="3" t="str">
        <f t="shared" si="5"/>
        <v>-</v>
      </c>
    </row>
    <row r="142" spans="1:6" ht="15" x14ac:dyDescent="0.25">
      <c r="A142" s="7"/>
      <c r="B142" s="7"/>
      <c r="C142" s="7"/>
      <c r="D142" s="7"/>
      <c r="E142" s="3" t="str">
        <f t="shared" ref="E142:E146" si="7">IF(C142&lt;&gt;"",IF(B142&lt;&gt;"",C142-B142,"-"), "-")</f>
        <v>-</v>
      </c>
    </row>
    <row r="143" spans="1:6" ht="15" x14ac:dyDescent="0.25">
      <c r="A143" s="7"/>
      <c r="B143" s="7"/>
      <c r="C143" s="7"/>
      <c r="D143" s="7"/>
      <c r="E143" s="3" t="str">
        <f t="shared" si="7"/>
        <v>-</v>
      </c>
    </row>
    <row r="144" spans="1:6" ht="15" x14ac:dyDescent="0.25">
      <c r="A144" s="7"/>
      <c r="B144" s="7"/>
      <c r="C144" s="7"/>
      <c r="D144" s="7"/>
      <c r="E144" s="3" t="str">
        <f t="shared" si="7"/>
        <v>-</v>
      </c>
    </row>
    <row r="145" spans="1:5" ht="15" x14ac:dyDescent="0.25">
      <c r="A145" s="7"/>
      <c r="B145" s="7"/>
      <c r="C145" s="7"/>
      <c r="D145" s="7"/>
      <c r="E145" s="3" t="str">
        <f t="shared" si="7"/>
        <v>-</v>
      </c>
    </row>
    <row r="146" spans="1:5" ht="15" x14ac:dyDescent="0.25">
      <c r="A146" s="7"/>
      <c r="B146" s="7"/>
      <c r="C146" s="7"/>
      <c r="D146" s="7"/>
      <c r="E146" s="3" t="str">
        <f t="shared" si="7"/>
        <v>-</v>
      </c>
    </row>
    <row r="147" spans="1:5" ht="15" x14ac:dyDescent="0.25">
      <c r="A147" s="7"/>
      <c r="B147" s="7"/>
      <c r="C147" s="7"/>
      <c r="D147" s="7"/>
      <c r="E147" s="3" t="str">
        <f t="shared" ref="E147:E148" si="8">IF(C147&lt;&gt;"",IF(B147&lt;&gt;"",B147-C147,"-"), "-")</f>
        <v>-</v>
      </c>
    </row>
    <row r="148" spans="1:5" ht="15" x14ac:dyDescent="0.25">
      <c r="A148" s="7"/>
      <c r="B148" s="7"/>
      <c r="C148" s="7"/>
      <c r="D148" s="7"/>
      <c r="E148" s="3" t="str">
        <f t="shared" si="8"/>
        <v>-</v>
      </c>
    </row>
    <row r="149" spans="1:5" ht="15" x14ac:dyDescent="0.25">
      <c r="A149" s="7"/>
      <c r="B149" s="7"/>
      <c r="C149" s="7"/>
      <c r="D149" s="7"/>
    </row>
    <row r="150" spans="1:5" ht="15" x14ac:dyDescent="0.25">
      <c r="A150" s="7"/>
      <c r="B150" s="7"/>
      <c r="C150" s="7"/>
      <c r="D150" s="7"/>
    </row>
    <row r="151" spans="1:5" ht="15" x14ac:dyDescent="0.25">
      <c r="B151" s="7"/>
      <c r="C151" s="7"/>
      <c r="D151" s="7"/>
    </row>
    <row r="152" spans="1:5" ht="15" x14ac:dyDescent="0.25">
      <c r="B152" s="7"/>
      <c r="C152" s="7"/>
      <c r="D152" s="7"/>
    </row>
    <row r="153" spans="1:5" ht="15" x14ac:dyDescent="0.25">
      <c r="B153" s="7"/>
      <c r="C153" s="7"/>
      <c r="D153" s="7"/>
    </row>
    <row r="154" spans="1:5" ht="15" x14ac:dyDescent="0.25">
      <c r="B154" s="7"/>
      <c r="C154" s="7"/>
      <c r="D154" s="7"/>
    </row>
    <row r="155" spans="1:5" ht="15" x14ac:dyDescent="0.25">
      <c r="B155" s="7"/>
      <c r="C155" s="7"/>
      <c r="D155" s="7"/>
    </row>
    <row r="156" spans="1:5" ht="15" x14ac:dyDescent="0.25">
      <c r="B156" s="7"/>
      <c r="C156" s="7"/>
      <c r="D156" s="7"/>
    </row>
    <row r="157" spans="1:5" ht="15" x14ac:dyDescent="0.25">
      <c r="B157" s="7"/>
      <c r="C157" s="7"/>
      <c r="D157" s="7"/>
    </row>
    <row r="158" spans="1:5" ht="15" x14ac:dyDescent="0.25">
      <c r="B158" s="7"/>
      <c r="C158" s="7"/>
      <c r="D158" s="7"/>
    </row>
    <row r="159" spans="1:5" ht="15" x14ac:dyDescent="0.25">
      <c r="B159" s="7"/>
      <c r="C159" s="7"/>
      <c r="D159" s="7"/>
    </row>
    <row r="160" spans="1:5" ht="15" x14ac:dyDescent="0.25">
      <c r="B160" s="7"/>
      <c r="C160" s="7"/>
      <c r="D160" s="7"/>
    </row>
    <row r="161" spans="2:4" ht="15" x14ac:dyDescent="0.25">
      <c r="B161" s="7"/>
      <c r="C161" s="7"/>
      <c r="D161" s="7"/>
    </row>
    <row r="162" spans="2:4" ht="15" x14ac:dyDescent="0.25">
      <c r="B162" s="7"/>
      <c r="C162" s="7"/>
      <c r="D162" s="7"/>
    </row>
    <row r="163" spans="2:4" ht="15" x14ac:dyDescent="0.25">
      <c r="B163" s="7"/>
      <c r="C163" s="7"/>
      <c r="D163" s="7"/>
    </row>
    <row r="164" spans="2:4" ht="15" x14ac:dyDescent="0.25">
      <c r="B164" s="7"/>
      <c r="C164" s="7"/>
      <c r="D164" s="7"/>
    </row>
    <row r="165" spans="2:4" ht="15" x14ac:dyDescent="0.25">
      <c r="B165" s="7"/>
      <c r="C165" s="7"/>
      <c r="D165" s="7"/>
    </row>
    <row r="166" spans="2:4" ht="15" x14ac:dyDescent="0.25">
      <c r="B166" s="7"/>
      <c r="C166" s="7"/>
      <c r="D166" s="7"/>
    </row>
    <row r="167" spans="2:4" ht="15" x14ac:dyDescent="0.25">
      <c r="B167" s="7"/>
      <c r="C167" s="7"/>
      <c r="D167" s="7"/>
    </row>
    <row r="168" spans="2:4" ht="15" x14ac:dyDescent="0.25">
      <c r="B168" s="7"/>
      <c r="C168" s="7"/>
      <c r="D168" s="7"/>
    </row>
    <row r="169" spans="2:4" ht="15" x14ac:dyDescent="0.25">
      <c r="B169" s="7"/>
      <c r="C169" s="7"/>
      <c r="D169" s="7"/>
    </row>
    <row r="170" spans="2:4" ht="15" x14ac:dyDescent="0.25">
      <c r="B170" s="7"/>
      <c r="C170" s="7"/>
      <c r="D170" s="7"/>
    </row>
    <row r="171" spans="2:4" ht="15" x14ac:dyDescent="0.25">
      <c r="B171" s="7"/>
      <c r="C171" s="7"/>
      <c r="D171" s="7"/>
    </row>
    <row r="172" spans="2:4" ht="15" x14ac:dyDescent="0.25">
      <c r="B172" s="7"/>
      <c r="C172" s="7"/>
      <c r="D172" s="7"/>
    </row>
    <row r="173" spans="2:4" ht="15" x14ac:dyDescent="0.25">
      <c r="B173" s="7"/>
      <c r="C173" s="7"/>
      <c r="D173" s="7"/>
    </row>
    <row r="174" spans="2:4" ht="15" x14ac:dyDescent="0.25">
      <c r="B174" s="7"/>
      <c r="C174" s="7"/>
      <c r="D174" s="7"/>
    </row>
    <row r="175" spans="2:4" ht="15" x14ac:dyDescent="0.25">
      <c r="B175" s="7"/>
      <c r="C175" s="7"/>
      <c r="D175" s="7"/>
    </row>
    <row r="176" spans="2:4" ht="15" x14ac:dyDescent="0.25">
      <c r="B176" s="7"/>
      <c r="C176" s="7"/>
      <c r="D176" s="7"/>
    </row>
    <row r="177" spans="2:4" ht="15" x14ac:dyDescent="0.25">
      <c r="B177" s="7"/>
      <c r="C177" s="7"/>
      <c r="D177" s="7"/>
    </row>
    <row r="178" spans="2:4" ht="15" x14ac:dyDescent="0.25">
      <c r="B178" s="7"/>
      <c r="C178" s="7"/>
      <c r="D178" s="7"/>
    </row>
    <row r="179" spans="2:4" ht="15" x14ac:dyDescent="0.25">
      <c r="B179" s="7"/>
      <c r="C179" s="7"/>
      <c r="D179" s="7"/>
    </row>
    <row r="180" spans="2:4" ht="15" x14ac:dyDescent="0.25">
      <c r="B180" s="7"/>
      <c r="C180" s="7"/>
      <c r="D180" s="7"/>
    </row>
    <row r="181" spans="2:4" ht="15" x14ac:dyDescent="0.25">
      <c r="B181" s="7"/>
      <c r="C181" s="7"/>
      <c r="D181" s="7"/>
    </row>
    <row r="182" spans="2:4" ht="15" x14ac:dyDescent="0.25">
      <c r="B182" s="7"/>
      <c r="C182" s="7"/>
      <c r="D182" s="7"/>
    </row>
    <row r="183" spans="2:4" ht="15" x14ac:dyDescent="0.25">
      <c r="B183" s="7"/>
      <c r="C183" s="7"/>
      <c r="D183" s="7"/>
    </row>
    <row r="184" spans="2:4" ht="15" x14ac:dyDescent="0.25">
      <c r="B184" s="7"/>
      <c r="C184" s="7"/>
      <c r="D184" s="7"/>
    </row>
    <row r="185" spans="2:4" ht="15" x14ac:dyDescent="0.25">
      <c r="B185" s="7"/>
      <c r="C185" s="7"/>
      <c r="D185" s="7"/>
    </row>
    <row r="186" spans="2:4" ht="15" x14ac:dyDescent="0.25">
      <c r="B186" s="7"/>
      <c r="C186" s="7"/>
      <c r="D186" s="7"/>
    </row>
    <row r="187" spans="2:4" ht="15" x14ac:dyDescent="0.25">
      <c r="B187" s="7"/>
      <c r="C187" s="7"/>
      <c r="D187" s="7"/>
    </row>
    <row r="188" spans="2:4" ht="15" x14ac:dyDescent="0.25">
      <c r="B188" s="7"/>
      <c r="C188" s="7"/>
      <c r="D188" s="7"/>
    </row>
    <row r="189" spans="2:4" ht="15" x14ac:dyDescent="0.25">
      <c r="B189" s="7"/>
      <c r="C189" s="7"/>
      <c r="D189" s="7"/>
    </row>
    <row r="190" spans="2:4" ht="15" x14ac:dyDescent="0.25">
      <c r="B190" s="7"/>
      <c r="C190" s="7"/>
      <c r="D190" s="7"/>
    </row>
    <row r="191" spans="2:4" ht="15" x14ac:dyDescent="0.25">
      <c r="B191" s="7"/>
      <c r="C191" s="7"/>
      <c r="D191" s="7"/>
    </row>
    <row r="192" spans="2:4" ht="15" x14ac:dyDescent="0.25">
      <c r="B192" s="7"/>
      <c r="C192" s="7"/>
      <c r="D192" s="7"/>
    </row>
    <row r="193" spans="2:4" ht="15" x14ac:dyDescent="0.25">
      <c r="B193" s="7"/>
      <c r="C193" s="7"/>
      <c r="D193" s="7"/>
    </row>
    <row r="194" spans="2:4" ht="15" x14ac:dyDescent="0.25">
      <c r="B194" s="7"/>
      <c r="C194" s="7"/>
      <c r="D194" s="7"/>
    </row>
    <row r="195" spans="2:4" ht="15" x14ac:dyDescent="0.25">
      <c r="B195" s="7"/>
      <c r="C195" s="7"/>
      <c r="D195" s="7"/>
    </row>
    <row r="196" spans="2:4" ht="15" x14ac:dyDescent="0.25">
      <c r="B196" s="7"/>
      <c r="C196" s="7"/>
      <c r="D196" s="7"/>
    </row>
    <row r="197" spans="2:4" ht="15" x14ac:dyDescent="0.25">
      <c r="B197" s="7"/>
      <c r="C197" s="7"/>
      <c r="D197" s="7"/>
    </row>
    <row r="198" spans="2:4" ht="15" x14ac:dyDescent="0.25">
      <c r="B198" s="7"/>
      <c r="C198" s="7"/>
      <c r="D198" s="7"/>
    </row>
    <row r="199" spans="2:4" ht="15" x14ac:dyDescent="0.25">
      <c r="B199" s="7"/>
      <c r="C199" s="7"/>
      <c r="D199" s="7"/>
    </row>
    <row r="200" spans="2:4" ht="15" x14ac:dyDescent="0.25">
      <c r="B200" s="7"/>
      <c r="C200" s="7"/>
      <c r="D200" s="7"/>
    </row>
    <row r="201" spans="2:4" ht="15" x14ac:dyDescent="0.25">
      <c r="B201" s="7"/>
      <c r="C201" s="7"/>
      <c r="D201" s="7"/>
    </row>
    <row r="202" spans="2:4" ht="15" x14ac:dyDescent="0.25">
      <c r="B202" s="7"/>
      <c r="C202" s="7"/>
      <c r="D202" s="7"/>
    </row>
    <row r="203" spans="2:4" ht="15" x14ac:dyDescent="0.25">
      <c r="B203" s="7"/>
      <c r="C203" s="7"/>
      <c r="D203" s="7"/>
    </row>
    <row r="204" spans="2:4" ht="15" x14ac:dyDescent="0.25">
      <c r="B204" s="7"/>
      <c r="C204" s="7"/>
      <c r="D204" s="7"/>
    </row>
    <row r="205" spans="2:4" ht="15" x14ac:dyDescent="0.25">
      <c r="B205" s="7"/>
      <c r="C205" s="7"/>
      <c r="D205" s="7"/>
    </row>
    <row r="206" spans="2:4" ht="15" x14ac:dyDescent="0.25">
      <c r="B206" s="7"/>
      <c r="C206" s="7"/>
      <c r="D206" s="7"/>
    </row>
    <row r="207" spans="2:4" ht="15" x14ac:dyDescent="0.25">
      <c r="B207" s="7"/>
      <c r="C207" s="7"/>
      <c r="D207" s="7"/>
    </row>
    <row r="208" spans="2:4" ht="15" x14ac:dyDescent="0.25">
      <c r="B208" s="7"/>
      <c r="C208" s="7"/>
      <c r="D208" s="7"/>
    </row>
    <row r="209" spans="2:4" ht="15" x14ac:dyDescent="0.25">
      <c r="B209" s="7"/>
      <c r="C209" s="7"/>
      <c r="D209" s="7"/>
    </row>
    <row r="210" spans="2:4" ht="15" x14ac:dyDescent="0.25">
      <c r="B210" s="7"/>
      <c r="C210" s="7"/>
      <c r="D210" s="7"/>
    </row>
    <row r="211" spans="2:4" ht="15" x14ac:dyDescent="0.25">
      <c r="B211" s="7"/>
      <c r="C211" s="7"/>
      <c r="D211" s="7"/>
    </row>
    <row r="212" spans="2:4" ht="15" x14ac:dyDescent="0.25">
      <c r="B212" s="7"/>
      <c r="C212" s="7"/>
      <c r="D212" s="7"/>
    </row>
    <row r="213" spans="2:4" ht="15" x14ac:dyDescent="0.25">
      <c r="B213" s="7"/>
      <c r="C213" s="7"/>
      <c r="D213" s="7"/>
    </row>
    <row r="214" spans="2:4" ht="15" x14ac:dyDescent="0.25">
      <c r="B214" s="7"/>
      <c r="C214" s="7"/>
      <c r="D214" s="7"/>
    </row>
    <row r="215" spans="2:4" ht="15" x14ac:dyDescent="0.25">
      <c r="B215" s="7"/>
      <c r="C215" s="7"/>
      <c r="D215" s="7"/>
    </row>
    <row r="216" spans="2:4" ht="15" x14ac:dyDescent="0.25">
      <c r="B216" s="7"/>
      <c r="C216" s="7"/>
      <c r="D216" s="7"/>
    </row>
    <row r="217" spans="2:4" ht="15" x14ac:dyDescent="0.25">
      <c r="B217" s="7"/>
      <c r="C217" s="7"/>
      <c r="D217" s="7"/>
    </row>
    <row r="218" spans="2:4" ht="15" x14ac:dyDescent="0.25">
      <c r="B218" s="7"/>
      <c r="C218" s="7"/>
      <c r="D218" s="7"/>
    </row>
    <row r="219" spans="2:4" ht="15" x14ac:dyDescent="0.25">
      <c r="B219" s="7"/>
      <c r="C219" s="7"/>
      <c r="D219" s="7"/>
    </row>
    <row r="220" spans="2:4" ht="15" x14ac:dyDescent="0.25">
      <c r="B220" s="7"/>
      <c r="C220" s="7"/>
      <c r="D220" s="7"/>
    </row>
    <row r="221" spans="2:4" ht="15" x14ac:dyDescent="0.25">
      <c r="B221" s="7"/>
      <c r="C221" s="7"/>
      <c r="D221" s="7"/>
    </row>
    <row r="222" spans="2:4" ht="15" x14ac:dyDescent="0.25">
      <c r="B222" s="7"/>
      <c r="C222" s="7"/>
      <c r="D222" s="7"/>
    </row>
    <row r="223" spans="2:4" ht="15" x14ac:dyDescent="0.25">
      <c r="B223" s="7"/>
      <c r="C223" s="7"/>
      <c r="D223" s="7"/>
    </row>
    <row r="224" spans="2:4" ht="15" x14ac:dyDescent="0.25">
      <c r="B224" s="7"/>
      <c r="C224" s="7"/>
      <c r="D224" s="7"/>
    </row>
    <row r="225" spans="2:4" ht="15" x14ac:dyDescent="0.25">
      <c r="B225" s="7"/>
      <c r="C225" s="7"/>
      <c r="D225" s="7"/>
    </row>
    <row r="226" spans="2:4" ht="15" x14ac:dyDescent="0.25">
      <c r="B226" s="7"/>
      <c r="C226" s="7"/>
      <c r="D226" s="7"/>
    </row>
    <row r="227" spans="2:4" ht="15" x14ac:dyDescent="0.25">
      <c r="B227" s="7"/>
      <c r="C227" s="7"/>
      <c r="D227" s="7"/>
    </row>
    <row r="228" spans="2:4" ht="15" x14ac:dyDescent="0.25">
      <c r="B228" s="7"/>
      <c r="C228" s="7"/>
      <c r="D228" s="7"/>
    </row>
    <row r="229" spans="2:4" ht="15" x14ac:dyDescent="0.25">
      <c r="B229" s="7"/>
      <c r="C229" s="7"/>
      <c r="D229" s="7"/>
    </row>
    <row r="230" spans="2:4" ht="15" x14ac:dyDescent="0.25">
      <c r="B230" s="7"/>
      <c r="C230" s="7"/>
      <c r="D230" s="7"/>
    </row>
    <row r="231" spans="2:4" ht="15" x14ac:dyDescent="0.25">
      <c r="B231" s="7"/>
      <c r="C231" s="7"/>
      <c r="D231" s="7"/>
    </row>
    <row r="232" spans="2:4" ht="15" x14ac:dyDescent="0.25">
      <c r="B232" s="7"/>
      <c r="C232" s="7"/>
      <c r="D232" s="7"/>
    </row>
    <row r="233" spans="2:4" ht="15" x14ac:dyDescent="0.25">
      <c r="B233" s="7"/>
      <c r="C233" s="7"/>
      <c r="D233" s="7"/>
    </row>
    <row r="234" spans="2:4" ht="15" x14ac:dyDescent="0.25">
      <c r="B234" s="7"/>
      <c r="C234" s="7"/>
      <c r="D234" s="7"/>
    </row>
    <row r="235" spans="2:4" ht="15" x14ac:dyDescent="0.25">
      <c r="B235" s="7"/>
      <c r="C235" s="7"/>
      <c r="D235" s="7"/>
    </row>
    <row r="236" spans="2:4" ht="15" x14ac:dyDescent="0.25">
      <c r="B236" s="7"/>
      <c r="C236" s="7"/>
      <c r="D236" s="7"/>
    </row>
    <row r="237" spans="2:4" ht="15" x14ac:dyDescent="0.25">
      <c r="B237" s="7"/>
      <c r="C237" s="7"/>
      <c r="D237" s="7"/>
    </row>
    <row r="238" spans="2:4" ht="15" x14ac:dyDescent="0.25">
      <c r="B238" s="7"/>
      <c r="C238" s="7"/>
      <c r="D238" s="7"/>
    </row>
    <row r="239" spans="2:4" ht="15" x14ac:dyDescent="0.25">
      <c r="B239" s="7"/>
      <c r="C239" s="7"/>
      <c r="D239" s="7"/>
    </row>
    <row r="240" spans="2:4" ht="15" x14ac:dyDescent="0.25">
      <c r="B240" s="7"/>
      <c r="C240" s="7"/>
      <c r="D240" s="7"/>
    </row>
    <row r="241" spans="2:4" ht="15" x14ac:dyDescent="0.25">
      <c r="B241" s="7"/>
      <c r="C241" s="7"/>
      <c r="D241" s="7"/>
    </row>
    <row r="242" spans="2:4" ht="15" x14ac:dyDescent="0.25">
      <c r="B242" s="7"/>
      <c r="C242" s="7"/>
      <c r="D242" s="7"/>
    </row>
    <row r="243" spans="2:4" ht="15" x14ac:dyDescent="0.25">
      <c r="B243" s="7"/>
      <c r="C243" s="7"/>
      <c r="D243" s="7"/>
    </row>
    <row r="244" spans="2:4" ht="15" x14ac:dyDescent="0.25">
      <c r="B244" s="7"/>
      <c r="C244" s="7"/>
      <c r="D244" s="7"/>
    </row>
    <row r="245" spans="2:4" ht="15" x14ac:dyDescent="0.25">
      <c r="B245" s="7"/>
      <c r="C245" s="7"/>
      <c r="D245" s="7"/>
    </row>
    <row r="246" spans="2:4" ht="15" x14ac:dyDescent="0.25">
      <c r="B246" s="7"/>
      <c r="C246" s="7"/>
      <c r="D246" s="7"/>
    </row>
    <row r="247" spans="2:4" ht="15" x14ac:dyDescent="0.25">
      <c r="B247" s="7"/>
      <c r="C247" s="7"/>
      <c r="D247" s="7"/>
    </row>
    <row r="248" spans="2:4" ht="15" x14ac:dyDescent="0.25">
      <c r="B248" s="7"/>
      <c r="C248" s="7"/>
      <c r="D248" s="7"/>
    </row>
    <row r="249" spans="2:4" ht="15" x14ac:dyDescent="0.25">
      <c r="B249" s="7"/>
      <c r="C249" s="7"/>
      <c r="D249" s="7"/>
    </row>
    <row r="250" spans="2:4" ht="15" x14ac:dyDescent="0.25">
      <c r="B250" s="7"/>
      <c r="C250" s="7"/>
      <c r="D250" s="7"/>
    </row>
    <row r="251" spans="2:4" ht="15" x14ac:dyDescent="0.25">
      <c r="B251" s="7"/>
      <c r="C251" s="7"/>
      <c r="D251" s="7"/>
    </row>
    <row r="252" spans="2:4" ht="15" x14ac:dyDescent="0.25">
      <c r="B252" s="7"/>
      <c r="C252" s="7"/>
      <c r="D252" s="7"/>
    </row>
    <row r="253" spans="2:4" ht="15" x14ac:dyDescent="0.25">
      <c r="B253" s="7"/>
      <c r="C253" s="7"/>
      <c r="D253" s="7"/>
    </row>
    <row r="254" spans="2:4" ht="15" x14ac:dyDescent="0.25">
      <c r="B254" s="7"/>
      <c r="C254" s="7"/>
      <c r="D254" s="7"/>
    </row>
    <row r="255" spans="2:4" ht="15" x14ac:dyDescent="0.25">
      <c r="B255" s="7"/>
      <c r="C255" s="7"/>
      <c r="D255" s="7"/>
    </row>
    <row r="256" spans="2:4" ht="15" x14ac:dyDescent="0.25">
      <c r="B256" s="7"/>
      <c r="C256" s="7"/>
      <c r="D256" s="7"/>
    </row>
    <row r="257" spans="2:4" ht="15" x14ac:dyDescent="0.25">
      <c r="B257" s="7"/>
      <c r="C257" s="7"/>
      <c r="D257" s="7"/>
    </row>
    <row r="258" spans="2:4" ht="15" x14ac:dyDescent="0.25">
      <c r="B258" s="7"/>
      <c r="C258" s="7"/>
      <c r="D258" s="7"/>
    </row>
    <row r="259" spans="2:4" ht="15" x14ac:dyDescent="0.25">
      <c r="B259" s="7"/>
      <c r="C259" s="7"/>
      <c r="D259" s="7"/>
    </row>
    <row r="260" spans="2:4" ht="15" x14ac:dyDescent="0.25">
      <c r="B260" s="7"/>
      <c r="C260" s="7"/>
      <c r="D260" s="7"/>
    </row>
    <row r="261" spans="2:4" ht="15" x14ac:dyDescent="0.25">
      <c r="B261" s="7"/>
      <c r="C261" s="7"/>
      <c r="D261" s="7"/>
    </row>
    <row r="262" spans="2:4" ht="15" x14ac:dyDescent="0.25">
      <c r="B262" s="7"/>
      <c r="C262" s="7"/>
      <c r="D262" s="7"/>
    </row>
    <row r="263" spans="2:4" ht="15" x14ac:dyDescent="0.25">
      <c r="B263" s="7"/>
      <c r="C263" s="7"/>
      <c r="D263" s="7"/>
    </row>
    <row r="264" spans="2:4" ht="15" x14ac:dyDescent="0.25">
      <c r="B264" s="7"/>
      <c r="C264" s="7"/>
      <c r="D264" s="7"/>
    </row>
    <row r="265" spans="2:4" ht="15" x14ac:dyDescent="0.25">
      <c r="B265" s="7"/>
      <c r="C265" s="7"/>
      <c r="D265" s="7"/>
    </row>
    <row r="266" spans="2:4" ht="15" x14ac:dyDescent="0.25">
      <c r="B266" s="7"/>
      <c r="C266" s="7"/>
      <c r="D266" s="7"/>
    </row>
    <row r="267" spans="2:4" ht="15" x14ac:dyDescent="0.25">
      <c r="B267" s="7"/>
      <c r="C267" s="7"/>
      <c r="D267" s="7"/>
    </row>
    <row r="268" spans="2:4" ht="15" x14ac:dyDescent="0.25">
      <c r="B268" s="7"/>
      <c r="C268" s="7"/>
      <c r="D268" s="7"/>
    </row>
    <row r="269" spans="2:4" ht="15" x14ac:dyDescent="0.25">
      <c r="B269" s="7"/>
      <c r="C269" s="7"/>
      <c r="D269" s="7"/>
    </row>
    <row r="270" spans="2:4" ht="15" x14ac:dyDescent="0.25">
      <c r="B270" s="7"/>
      <c r="C270" s="7"/>
      <c r="D270" s="7"/>
    </row>
    <row r="271" spans="2:4" ht="15" x14ac:dyDescent="0.25">
      <c r="B271" s="7"/>
      <c r="C271" s="7"/>
      <c r="D271" s="7"/>
    </row>
    <row r="272" spans="2:4" ht="15" x14ac:dyDescent="0.25">
      <c r="B272" s="7"/>
      <c r="C272" s="7"/>
      <c r="D272" s="7"/>
    </row>
    <row r="273" spans="2:4" ht="15" x14ac:dyDescent="0.25">
      <c r="B273" s="7"/>
      <c r="C273" s="7"/>
      <c r="D273" s="7"/>
    </row>
    <row r="274" spans="2:4" ht="15" x14ac:dyDescent="0.25">
      <c r="B274" s="7"/>
      <c r="C274" s="7"/>
      <c r="D274" s="7"/>
    </row>
    <row r="275" spans="2:4" ht="15" x14ac:dyDescent="0.25">
      <c r="B275" s="7"/>
      <c r="C275" s="7"/>
      <c r="D275" s="7"/>
    </row>
    <row r="276" spans="2:4" ht="15" x14ac:dyDescent="0.25">
      <c r="B276" s="7"/>
      <c r="C276" s="7"/>
      <c r="D276" s="7"/>
    </row>
    <row r="277" spans="2:4" ht="15" x14ac:dyDescent="0.25">
      <c r="B277" s="7"/>
      <c r="C277" s="7"/>
      <c r="D277" s="7"/>
    </row>
    <row r="278" spans="2:4" ht="15" x14ac:dyDescent="0.25">
      <c r="B278" s="7"/>
      <c r="C278" s="7"/>
      <c r="D278" s="7"/>
    </row>
    <row r="279" spans="2:4" ht="15" x14ac:dyDescent="0.25">
      <c r="B279" s="7"/>
      <c r="C279" s="7"/>
      <c r="D279" s="7"/>
    </row>
    <row r="280" spans="2:4" ht="15" x14ac:dyDescent="0.25">
      <c r="B280" s="7"/>
      <c r="C280" s="7"/>
      <c r="D280" s="7"/>
    </row>
    <row r="281" spans="2:4" ht="15" x14ac:dyDescent="0.25">
      <c r="B281" s="7"/>
      <c r="C281" s="7"/>
      <c r="D281" s="7"/>
    </row>
    <row r="282" spans="2:4" ht="15" x14ac:dyDescent="0.25">
      <c r="B282" s="7"/>
      <c r="C282" s="7"/>
      <c r="D282" s="7"/>
    </row>
    <row r="283" spans="2:4" ht="15" x14ac:dyDescent="0.25">
      <c r="B283" s="7"/>
      <c r="C283" s="7"/>
      <c r="D283" s="7"/>
    </row>
    <row r="284" spans="2:4" ht="15" x14ac:dyDescent="0.25">
      <c r="B284" s="7"/>
      <c r="C284" s="7"/>
      <c r="D284" s="7"/>
    </row>
    <row r="285" spans="2:4" ht="15" x14ac:dyDescent="0.25">
      <c r="B285" s="7"/>
      <c r="C285" s="7"/>
      <c r="D285" s="7"/>
    </row>
    <row r="286" spans="2:4" ht="15" x14ac:dyDescent="0.25">
      <c r="B286" s="7"/>
      <c r="C286" s="7"/>
      <c r="D286" s="7"/>
    </row>
    <row r="287" spans="2:4" ht="15" x14ac:dyDescent="0.25">
      <c r="B287" s="7"/>
      <c r="C287" s="7"/>
      <c r="D287" s="7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6DA051-0308-42D5-B7F7-51E79FAF1C31}">
  <dimension ref="A1:F292"/>
  <sheetViews>
    <sheetView topLeftCell="A99" workbookViewId="0">
      <selection activeCell="A99" sqref="A1:XFD1048576"/>
    </sheetView>
  </sheetViews>
  <sheetFormatPr defaultRowHeight="14.25" x14ac:dyDescent="0.2"/>
  <cols>
    <col min="1" max="1" width="11.25" customWidth="1"/>
  </cols>
  <sheetData>
    <row r="1" spans="1:6" ht="15" x14ac:dyDescent="0.25">
      <c r="A1" s="1" t="s">
        <v>0</v>
      </c>
      <c r="B1" s="1" t="s">
        <v>125</v>
      </c>
      <c r="C1" s="1" t="s">
        <v>49</v>
      </c>
      <c r="D1" s="1" t="s">
        <v>2</v>
      </c>
    </row>
    <row r="2" spans="1:6" ht="15" x14ac:dyDescent="0.25">
      <c r="A2" s="7" t="s">
        <v>53</v>
      </c>
      <c r="B2" s="2"/>
      <c r="C2" s="2">
        <v>444</v>
      </c>
      <c r="D2" s="3" t="str">
        <f>IF(C2&lt;&gt;"",IF(B2&lt;&gt;"",C2-B2,"-"), "-")</f>
        <v>-</v>
      </c>
      <c r="F2" t="s">
        <v>50</v>
      </c>
    </row>
    <row r="3" spans="1:6" ht="15" x14ac:dyDescent="0.25">
      <c r="A3" s="7" t="s">
        <v>52</v>
      </c>
      <c r="B3" s="7">
        <v>1052</v>
      </c>
      <c r="C3" s="7">
        <v>1068</v>
      </c>
      <c r="D3" s="3">
        <f>IF(C3&lt;&gt;"",IF(B3&lt;&gt;"",C3-B3,"-"), "-")</f>
        <v>16</v>
      </c>
      <c r="F3" t="s">
        <v>134</v>
      </c>
    </row>
    <row r="4" spans="1:6" ht="15" x14ac:dyDescent="0.25">
      <c r="A4" s="7" t="s">
        <v>54</v>
      </c>
      <c r="B4" s="7">
        <v>1389</v>
      </c>
      <c r="C4" s="7">
        <v>1408</v>
      </c>
      <c r="D4" s="3">
        <f t="shared" ref="D4:D79" si="0">IF(C4&lt;&gt;"",IF(B4&lt;&gt;"",C4-B4,"-"), "-")</f>
        <v>19</v>
      </c>
    </row>
    <row r="5" spans="1:6" ht="15" x14ac:dyDescent="0.25">
      <c r="A5" s="7" t="s">
        <v>63</v>
      </c>
      <c r="B5" s="7">
        <v>2296</v>
      </c>
      <c r="C5" s="7">
        <v>2342</v>
      </c>
      <c r="D5" s="3">
        <f t="shared" si="0"/>
        <v>46</v>
      </c>
    </row>
    <row r="6" spans="1:6" ht="15" x14ac:dyDescent="0.25">
      <c r="A6" s="7" t="s">
        <v>64</v>
      </c>
      <c r="B6" s="7">
        <v>2634</v>
      </c>
      <c r="C6" s="7">
        <v>2679</v>
      </c>
      <c r="D6" s="3">
        <f t="shared" si="0"/>
        <v>45</v>
      </c>
    </row>
    <row r="7" spans="1:6" ht="15" x14ac:dyDescent="0.25">
      <c r="A7" s="8" t="s">
        <v>129</v>
      </c>
      <c r="B7" s="7">
        <v>2957</v>
      </c>
      <c r="C7" s="7">
        <v>2987</v>
      </c>
      <c r="D7" s="3">
        <f t="shared" si="0"/>
        <v>30</v>
      </c>
      <c r="E7" t="s">
        <v>132</v>
      </c>
    </row>
    <row r="8" spans="1:6" ht="15" x14ac:dyDescent="0.25">
      <c r="A8" s="8" t="s">
        <v>128</v>
      </c>
      <c r="B8" s="7"/>
      <c r="C8" s="7">
        <v>3004</v>
      </c>
      <c r="D8" s="3" t="str">
        <f t="shared" si="0"/>
        <v>-</v>
      </c>
    </row>
    <row r="9" spans="1:6" ht="15" x14ac:dyDescent="0.25">
      <c r="A9" s="8" t="s">
        <v>127</v>
      </c>
      <c r="B9" s="7"/>
      <c r="C9" s="7">
        <v>3124</v>
      </c>
      <c r="D9" s="3" t="str">
        <f t="shared" si="0"/>
        <v>-</v>
      </c>
    </row>
    <row r="10" spans="1:6" ht="15" x14ac:dyDescent="0.25">
      <c r="A10" s="7" t="s">
        <v>65</v>
      </c>
      <c r="B10" s="7">
        <v>3380</v>
      </c>
      <c r="C10" s="7">
        <v>3476</v>
      </c>
      <c r="D10" s="3">
        <f t="shared" si="0"/>
        <v>96</v>
      </c>
    </row>
    <row r="11" spans="1:6" ht="15" x14ac:dyDescent="0.25">
      <c r="A11" s="7" t="s">
        <v>66</v>
      </c>
      <c r="B11" s="7">
        <v>3717</v>
      </c>
      <c r="C11" s="7">
        <v>3814</v>
      </c>
      <c r="D11" s="3">
        <f t="shared" si="0"/>
        <v>97</v>
      </c>
    </row>
    <row r="12" spans="1:6" ht="15" x14ac:dyDescent="0.25">
      <c r="A12" s="8" t="s">
        <v>129</v>
      </c>
      <c r="B12" s="7">
        <v>4031</v>
      </c>
      <c r="C12" s="7">
        <v>4122</v>
      </c>
      <c r="D12" s="3">
        <f t="shared" si="0"/>
        <v>91</v>
      </c>
      <c r="E12" t="s">
        <v>131</v>
      </c>
    </row>
    <row r="13" spans="1:6" ht="15" x14ac:dyDescent="0.25">
      <c r="A13" s="8" t="s">
        <v>130</v>
      </c>
      <c r="B13" s="7">
        <v>4215</v>
      </c>
      <c r="C13" s="7">
        <v>4306</v>
      </c>
      <c r="D13" s="3">
        <f t="shared" si="0"/>
        <v>91</v>
      </c>
    </row>
    <row r="14" spans="1:6" ht="15" x14ac:dyDescent="0.25">
      <c r="A14" s="8" t="s">
        <v>133</v>
      </c>
      <c r="B14" s="7">
        <v>4375</v>
      </c>
      <c r="C14" s="7">
        <v>4476</v>
      </c>
      <c r="D14" s="3">
        <f t="shared" si="0"/>
        <v>101</v>
      </c>
    </row>
    <row r="15" spans="1:6" ht="15" x14ac:dyDescent="0.25">
      <c r="A15" s="7" t="s">
        <v>67</v>
      </c>
      <c r="B15" s="7">
        <v>4553</v>
      </c>
      <c r="C15" s="7">
        <v>4654</v>
      </c>
      <c r="D15" s="3">
        <f t="shared" si="0"/>
        <v>101</v>
      </c>
    </row>
    <row r="16" spans="1:6" ht="15" x14ac:dyDescent="0.25">
      <c r="A16" s="8" t="s">
        <v>135</v>
      </c>
      <c r="B16" s="7">
        <v>5209</v>
      </c>
      <c r="C16" s="7">
        <v>5314</v>
      </c>
      <c r="D16" s="3">
        <f t="shared" si="0"/>
        <v>105</v>
      </c>
    </row>
    <row r="17" spans="1:5" ht="15" x14ac:dyDescent="0.25">
      <c r="A17" s="7" t="s">
        <v>69</v>
      </c>
      <c r="B17" s="7">
        <v>5536</v>
      </c>
      <c r="C17" s="7">
        <v>5673</v>
      </c>
      <c r="D17" s="3">
        <f t="shared" si="0"/>
        <v>137</v>
      </c>
    </row>
    <row r="18" spans="1:5" ht="15" x14ac:dyDescent="0.25">
      <c r="A18" s="8" t="s">
        <v>136</v>
      </c>
      <c r="B18" s="7">
        <v>6216</v>
      </c>
      <c r="C18" s="7">
        <v>6332</v>
      </c>
      <c r="D18" s="3">
        <f t="shared" si="0"/>
        <v>116</v>
      </c>
    </row>
    <row r="19" spans="1:5" ht="15" x14ac:dyDescent="0.25">
      <c r="A19" s="7" t="s">
        <v>71</v>
      </c>
      <c r="B19" s="7">
        <v>7274</v>
      </c>
      <c r="C19" s="7">
        <v>7424</v>
      </c>
      <c r="D19" s="3">
        <f t="shared" si="0"/>
        <v>150</v>
      </c>
    </row>
    <row r="20" spans="1:5" ht="15" x14ac:dyDescent="0.25">
      <c r="A20" s="8" t="s">
        <v>137</v>
      </c>
      <c r="B20" s="7">
        <v>7919</v>
      </c>
      <c r="C20" s="7">
        <v>8069</v>
      </c>
      <c r="D20" s="3">
        <f t="shared" si="0"/>
        <v>150</v>
      </c>
    </row>
    <row r="21" spans="1:5" ht="15" x14ac:dyDescent="0.25">
      <c r="A21" s="7" t="s">
        <v>73</v>
      </c>
      <c r="B21" s="7">
        <v>8407</v>
      </c>
      <c r="C21" s="7">
        <v>8564</v>
      </c>
      <c r="D21" s="3">
        <f t="shared" si="0"/>
        <v>157</v>
      </c>
    </row>
    <row r="22" spans="1:5" ht="15" x14ac:dyDescent="0.25">
      <c r="A22" s="8" t="s">
        <v>138</v>
      </c>
      <c r="B22" s="7">
        <v>9053</v>
      </c>
      <c r="C22" s="7">
        <v>9210</v>
      </c>
      <c r="D22" s="3">
        <f t="shared" si="0"/>
        <v>157</v>
      </c>
    </row>
    <row r="23" spans="1:5" ht="15" x14ac:dyDescent="0.25">
      <c r="A23" s="7" t="s">
        <v>75</v>
      </c>
      <c r="B23" s="7">
        <v>9481</v>
      </c>
      <c r="C23" s="7">
        <v>9690</v>
      </c>
      <c r="D23" s="3">
        <f t="shared" si="0"/>
        <v>209</v>
      </c>
    </row>
    <row r="24" spans="1:5" ht="15" x14ac:dyDescent="0.25">
      <c r="A24" s="8" t="s">
        <v>139</v>
      </c>
      <c r="B24" s="7">
        <v>10126</v>
      </c>
      <c r="C24" s="7">
        <v>10351</v>
      </c>
      <c r="D24" s="3">
        <f t="shared" si="0"/>
        <v>225</v>
      </c>
    </row>
    <row r="25" spans="1:5" ht="15" x14ac:dyDescent="0.25">
      <c r="A25" s="7" t="s">
        <v>77</v>
      </c>
      <c r="B25" s="7">
        <v>11221</v>
      </c>
      <c r="C25" s="7">
        <v>11443</v>
      </c>
      <c r="D25" s="3">
        <f t="shared" si="0"/>
        <v>222</v>
      </c>
    </row>
    <row r="26" spans="1:5" ht="15" x14ac:dyDescent="0.25">
      <c r="A26" s="8" t="s">
        <v>140</v>
      </c>
      <c r="B26" s="7">
        <v>11859</v>
      </c>
      <c r="C26" s="7">
        <v>12081</v>
      </c>
      <c r="D26" s="3">
        <f t="shared" si="0"/>
        <v>222</v>
      </c>
    </row>
    <row r="27" spans="1:5" ht="15" x14ac:dyDescent="0.25">
      <c r="A27" s="8" t="s">
        <v>130</v>
      </c>
      <c r="B27" s="7">
        <v>12287</v>
      </c>
      <c r="C27" s="7">
        <v>12567</v>
      </c>
      <c r="D27" s="3">
        <f t="shared" si="0"/>
        <v>280</v>
      </c>
    </row>
    <row r="28" spans="1:5" ht="15" x14ac:dyDescent="0.25">
      <c r="A28" s="7" t="s">
        <v>79</v>
      </c>
      <c r="B28" s="7">
        <v>12430</v>
      </c>
      <c r="C28" s="7">
        <v>12706</v>
      </c>
      <c r="D28" s="3">
        <f t="shared" si="0"/>
        <v>276</v>
      </c>
    </row>
    <row r="29" spans="1:5" ht="15" x14ac:dyDescent="0.25">
      <c r="A29" s="8" t="s">
        <v>141</v>
      </c>
      <c r="B29" s="7">
        <v>13089</v>
      </c>
      <c r="C29" s="7">
        <v>13365</v>
      </c>
      <c r="D29" s="3">
        <f t="shared" si="0"/>
        <v>276</v>
      </c>
    </row>
    <row r="30" spans="1:5" ht="15" x14ac:dyDescent="0.25">
      <c r="A30" s="8" t="s">
        <v>126</v>
      </c>
      <c r="B30" s="7">
        <v>13412</v>
      </c>
      <c r="C30" s="7">
        <v>13704</v>
      </c>
      <c r="D30" s="3">
        <f t="shared" si="0"/>
        <v>292</v>
      </c>
      <c r="E30" t="s">
        <v>143</v>
      </c>
    </row>
    <row r="31" spans="1:5" ht="15" x14ac:dyDescent="0.25">
      <c r="A31" s="7" t="s">
        <v>81</v>
      </c>
      <c r="B31" s="7">
        <v>14071</v>
      </c>
      <c r="C31" s="7">
        <v>14363</v>
      </c>
      <c r="D31" s="3">
        <f t="shared" si="0"/>
        <v>292</v>
      </c>
    </row>
    <row r="32" spans="1:5" ht="15" x14ac:dyDescent="0.25">
      <c r="A32" s="7" t="s">
        <v>82</v>
      </c>
      <c r="B32" s="7">
        <v>14755</v>
      </c>
      <c r="C32" s="7">
        <v>15037</v>
      </c>
      <c r="D32" s="3">
        <f t="shared" si="0"/>
        <v>282</v>
      </c>
    </row>
    <row r="33" spans="1:6" ht="15" x14ac:dyDescent="0.25">
      <c r="A33" s="8" t="s">
        <v>142</v>
      </c>
      <c r="B33" s="7">
        <v>15409</v>
      </c>
      <c r="C33" s="7">
        <v>15683</v>
      </c>
      <c r="D33" s="3">
        <f t="shared" si="0"/>
        <v>274</v>
      </c>
      <c r="E33" t="s">
        <v>144</v>
      </c>
    </row>
    <row r="34" spans="1:6" ht="15" x14ac:dyDescent="0.25">
      <c r="A34" s="8" t="s">
        <v>86</v>
      </c>
      <c r="B34" s="7">
        <v>15994</v>
      </c>
      <c r="C34" s="7">
        <v>16263</v>
      </c>
      <c r="D34" s="3">
        <f t="shared" si="0"/>
        <v>269</v>
      </c>
      <c r="E34" t="s">
        <v>145</v>
      </c>
    </row>
    <row r="35" spans="1:6" ht="15" x14ac:dyDescent="0.25">
      <c r="A35" s="7" t="s">
        <v>85</v>
      </c>
      <c r="B35" s="7">
        <v>16640</v>
      </c>
      <c r="C35" s="7">
        <v>16910</v>
      </c>
      <c r="D35" s="3">
        <f t="shared" si="0"/>
        <v>270</v>
      </c>
    </row>
    <row r="36" spans="1:6" ht="15" x14ac:dyDescent="0.25">
      <c r="A36" s="7" t="s">
        <v>86</v>
      </c>
      <c r="B36" s="7">
        <v>17228</v>
      </c>
      <c r="C36" s="7">
        <v>17488</v>
      </c>
      <c r="D36" s="3">
        <f t="shared" si="0"/>
        <v>260</v>
      </c>
      <c r="E36" t="s">
        <v>145</v>
      </c>
    </row>
    <row r="37" spans="1:6" ht="15" x14ac:dyDescent="0.25">
      <c r="A37" s="7" t="s">
        <v>87</v>
      </c>
      <c r="B37" s="7">
        <v>17866</v>
      </c>
      <c r="C37" s="7">
        <v>18134</v>
      </c>
      <c r="D37" s="3">
        <f t="shared" si="0"/>
        <v>268</v>
      </c>
    </row>
    <row r="38" spans="1:6" ht="15" x14ac:dyDescent="0.25">
      <c r="A38" s="7" t="s">
        <v>88</v>
      </c>
      <c r="B38" s="7">
        <v>18604</v>
      </c>
      <c r="C38" s="7">
        <v>18924</v>
      </c>
      <c r="D38" s="3">
        <f t="shared" si="0"/>
        <v>320</v>
      </c>
      <c r="F38" t="s">
        <v>146</v>
      </c>
    </row>
    <row r="39" spans="1:6" ht="15" x14ac:dyDescent="0.25">
      <c r="A39" s="7" t="s">
        <v>89</v>
      </c>
      <c r="B39" s="7">
        <v>19242</v>
      </c>
      <c r="C39" s="7">
        <v>19562</v>
      </c>
      <c r="D39" s="3">
        <f t="shared" si="0"/>
        <v>320</v>
      </c>
    </row>
    <row r="40" spans="1:6" ht="15" x14ac:dyDescent="0.25">
      <c r="A40" s="7" t="s">
        <v>90</v>
      </c>
      <c r="B40" s="7">
        <v>19683</v>
      </c>
      <c r="C40" s="7">
        <v>20001</v>
      </c>
      <c r="D40" s="3">
        <f t="shared" si="0"/>
        <v>318</v>
      </c>
      <c r="E40" t="s">
        <v>145</v>
      </c>
    </row>
    <row r="41" spans="1:6" ht="15" x14ac:dyDescent="0.25">
      <c r="A41" s="7" t="s">
        <v>91</v>
      </c>
      <c r="B41" s="7">
        <v>20330</v>
      </c>
      <c r="C41" s="7">
        <v>20646</v>
      </c>
      <c r="D41" s="3">
        <f t="shared" si="0"/>
        <v>316</v>
      </c>
    </row>
    <row r="42" spans="1:6" ht="15" x14ac:dyDescent="0.25">
      <c r="A42" s="7" t="s">
        <v>92</v>
      </c>
      <c r="B42" s="7">
        <v>21340</v>
      </c>
      <c r="C42" s="7">
        <v>21659</v>
      </c>
      <c r="D42" s="3">
        <f t="shared" si="0"/>
        <v>319</v>
      </c>
    </row>
    <row r="43" spans="1:6" ht="15" x14ac:dyDescent="0.25">
      <c r="A43" s="7" t="s">
        <v>93</v>
      </c>
      <c r="B43" s="7">
        <v>21985</v>
      </c>
      <c r="C43" s="7">
        <v>22304</v>
      </c>
      <c r="D43" s="3">
        <f t="shared" si="0"/>
        <v>319</v>
      </c>
    </row>
    <row r="44" spans="1:6" ht="15" x14ac:dyDescent="0.25">
      <c r="A44" s="7" t="s">
        <v>94</v>
      </c>
      <c r="B44" s="8">
        <v>22936</v>
      </c>
      <c r="C44" s="7">
        <v>23344</v>
      </c>
      <c r="D44" s="3">
        <f t="shared" si="0"/>
        <v>408</v>
      </c>
    </row>
    <row r="45" spans="1:6" ht="15" x14ac:dyDescent="0.25">
      <c r="A45" s="7" t="s">
        <v>95</v>
      </c>
      <c r="B45" s="7">
        <v>23582</v>
      </c>
      <c r="C45" s="7">
        <v>24003</v>
      </c>
      <c r="D45" s="3">
        <f t="shared" si="0"/>
        <v>421</v>
      </c>
    </row>
    <row r="46" spans="1:6" ht="15" x14ac:dyDescent="0.25">
      <c r="A46" s="7" t="s">
        <v>96</v>
      </c>
      <c r="B46" s="7">
        <v>23922</v>
      </c>
      <c r="C46" s="7">
        <v>24339</v>
      </c>
      <c r="D46" s="3">
        <f t="shared" si="0"/>
        <v>417</v>
      </c>
    </row>
    <row r="47" spans="1:6" ht="15" x14ac:dyDescent="0.25">
      <c r="A47" s="7" t="s">
        <v>97</v>
      </c>
      <c r="B47" s="7">
        <v>24583</v>
      </c>
      <c r="C47" s="7">
        <v>24998</v>
      </c>
      <c r="D47" s="3">
        <f t="shared" si="0"/>
        <v>415</v>
      </c>
      <c r="E47" t="s">
        <v>147</v>
      </c>
    </row>
    <row r="48" spans="1:6" ht="15" x14ac:dyDescent="0.25">
      <c r="A48" s="7" t="s">
        <v>98</v>
      </c>
      <c r="B48" s="7">
        <v>25181</v>
      </c>
      <c r="C48" s="7">
        <v>25628</v>
      </c>
      <c r="D48" s="3">
        <f t="shared" si="0"/>
        <v>447</v>
      </c>
    </row>
    <row r="49" spans="1:5" ht="15" x14ac:dyDescent="0.25">
      <c r="A49" s="7" t="s">
        <v>99</v>
      </c>
      <c r="B49" s="7">
        <v>25839</v>
      </c>
      <c r="C49" s="7">
        <v>26288</v>
      </c>
      <c r="D49" s="3">
        <f t="shared" si="0"/>
        <v>449</v>
      </c>
    </row>
    <row r="50" spans="1:5" ht="15" x14ac:dyDescent="0.25">
      <c r="A50" s="7" t="s">
        <v>100</v>
      </c>
      <c r="B50" s="7">
        <v>26718</v>
      </c>
      <c r="C50" s="7">
        <v>27221</v>
      </c>
      <c r="D50" s="3">
        <f t="shared" si="0"/>
        <v>503</v>
      </c>
      <c r="E50">
        <v>26718</v>
      </c>
    </row>
    <row r="51" spans="1:5" ht="15" x14ac:dyDescent="0.25">
      <c r="A51" s="7" t="s">
        <v>101</v>
      </c>
      <c r="B51" s="7">
        <v>27377</v>
      </c>
      <c r="C51" s="7">
        <v>27866</v>
      </c>
      <c r="D51" s="3">
        <f t="shared" si="0"/>
        <v>489</v>
      </c>
      <c r="E51" t="s">
        <v>145</v>
      </c>
    </row>
    <row r="52" spans="1:5" ht="15" x14ac:dyDescent="0.25">
      <c r="A52" s="7" t="s">
        <v>102</v>
      </c>
      <c r="B52" s="7">
        <v>28030</v>
      </c>
      <c r="C52" s="7">
        <v>28531</v>
      </c>
      <c r="D52" s="3">
        <f t="shared" si="0"/>
        <v>501</v>
      </c>
    </row>
    <row r="53" spans="1:5" ht="15" x14ac:dyDescent="0.25">
      <c r="A53" s="7" t="s">
        <v>103</v>
      </c>
      <c r="B53" s="7">
        <v>28675</v>
      </c>
      <c r="C53" s="7">
        <v>29176</v>
      </c>
      <c r="D53" s="3">
        <f t="shared" si="0"/>
        <v>501</v>
      </c>
    </row>
    <row r="54" spans="1:5" ht="15" x14ac:dyDescent="0.25">
      <c r="A54" s="9" t="s">
        <v>148</v>
      </c>
      <c r="B54" s="7">
        <v>29030</v>
      </c>
      <c r="C54" s="7">
        <v>29531</v>
      </c>
      <c r="D54" s="3">
        <f t="shared" si="0"/>
        <v>501</v>
      </c>
    </row>
    <row r="55" spans="1:5" ht="15" x14ac:dyDescent="0.25">
      <c r="A55" s="9" t="s">
        <v>149</v>
      </c>
      <c r="B55" s="7">
        <v>29392</v>
      </c>
      <c r="C55" s="7">
        <v>29894</v>
      </c>
      <c r="D55" s="3">
        <f t="shared" si="0"/>
        <v>502</v>
      </c>
    </row>
    <row r="56" spans="1:5" ht="15" x14ac:dyDescent="0.25">
      <c r="A56" s="9" t="s">
        <v>150</v>
      </c>
      <c r="B56" s="7">
        <v>29423</v>
      </c>
      <c r="C56" s="7">
        <v>29924</v>
      </c>
      <c r="D56" s="3">
        <f t="shared" si="0"/>
        <v>501</v>
      </c>
    </row>
    <row r="57" spans="1:5" ht="15" x14ac:dyDescent="0.25">
      <c r="A57" s="9" t="s">
        <v>148</v>
      </c>
      <c r="B57" s="7">
        <v>29537</v>
      </c>
      <c r="C57" s="7">
        <v>30032</v>
      </c>
      <c r="D57" s="3">
        <f t="shared" si="0"/>
        <v>495</v>
      </c>
      <c r="E57" t="s">
        <v>151</v>
      </c>
    </row>
    <row r="58" spans="1:5" ht="15" x14ac:dyDescent="0.25">
      <c r="A58" s="7" t="s">
        <v>104</v>
      </c>
      <c r="B58" s="7">
        <v>29883</v>
      </c>
      <c r="C58" s="7">
        <v>30377</v>
      </c>
      <c r="D58" s="3">
        <f t="shared" si="0"/>
        <v>494</v>
      </c>
    </row>
    <row r="59" spans="1:5" ht="15" x14ac:dyDescent="0.25">
      <c r="A59" s="7" t="s">
        <v>105</v>
      </c>
      <c r="B59" s="7">
        <v>30378</v>
      </c>
      <c r="C59" s="7">
        <v>30869</v>
      </c>
      <c r="D59" s="3">
        <f t="shared" si="0"/>
        <v>491</v>
      </c>
    </row>
    <row r="60" spans="1:5" ht="15" x14ac:dyDescent="0.25">
      <c r="A60" s="7" t="s">
        <v>106</v>
      </c>
      <c r="B60" s="7">
        <v>30809</v>
      </c>
      <c r="C60" s="7">
        <v>31301</v>
      </c>
      <c r="D60" s="3">
        <f t="shared" si="0"/>
        <v>492</v>
      </c>
    </row>
    <row r="61" spans="1:5" ht="15" x14ac:dyDescent="0.25">
      <c r="A61" s="7" t="s">
        <v>107</v>
      </c>
      <c r="B61" s="7">
        <v>31448</v>
      </c>
      <c r="C61" s="7">
        <v>31939</v>
      </c>
      <c r="D61" s="3">
        <f t="shared" si="0"/>
        <v>491</v>
      </c>
    </row>
    <row r="62" spans="1:5" ht="15" x14ac:dyDescent="0.25">
      <c r="A62" s="7" t="s">
        <v>108</v>
      </c>
      <c r="B62" s="7">
        <v>32009</v>
      </c>
      <c r="C62" s="7">
        <v>32606</v>
      </c>
      <c r="D62" s="3">
        <f t="shared" si="0"/>
        <v>597</v>
      </c>
    </row>
    <row r="63" spans="1:5" ht="15" x14ac:dyDescent="0.25">
      <c r="A63" s="7" t="s">
        <v>109</v>
      </c>
      <c r="B63" s="7">
        <v>32654</v>
      </c>
      <c r="C63" s="7">
        <v>33251</v>
      </c>
      <c r="D63" s="3">
        <f t="shared" si="0"/>
        <v>597</v>
      </c>
    </row>
    <row r="64" spans="1:5" ht="15" x14ac:dyDescent="0.25">
      <c r="A64" s="7" t="s">
        <v>110</v>
      </c>
      <c r="B64" s="7">
        <v>33576</v>
      </c>
      <c r="C64" s="9">
        <v>34217</v>
      </c>
      <c r="D64" s="3">
        <f t="shared" si="0"/>
        <v>641</v>
      </c>
    </row>
    <row r="65" spans="1:4" ht="15" x14ac:dyDescent="0.25">
      <c r="A65" s="7" t="s">
        <v>111</v>
      </c>
      <c r="B65" s="7">
        <v>34235</v>
      </c>
      <c r="C65" s="7">
        <v>34876</v>
      </c>
      <c r="D65" s="3">
        <f t="shared" si="0"/>
        <v>641</v>
      </c>
    </row>
    <row r="66" spans="1:4" ht="15" x14ac:dyDescent="0.25">
      <c r="A66" s="7" t="s">
        <v>112</v>
      </c>
      <c r="B66" s="7">
        <v>35341</v>
      </c>
      <c r="C66" s="7">
        <v>36013</v>
      </c>
      <c r="D66" s="3">
        <f t="shared" si="0"/>
        <v>672</v>
      </c>
    </row>
    <row r="67" spans="1:4" ht="15" x14ac:dyDescent="0.25">
      <c r="A67" s="7" t="s">
        <v>113</v>
      </c>
      <c r="B67" s="7">
        <v>35986</v>
      </c>
      <c r="C67" s="7">
        <v>36658</v>
      </c>
      <c r="D67" s="3">
        <f t="shared" si="0"/>
        <v>672</v>
      </c>
    </row>
    <row r="68" spans="1:4" ht="15" x14ac:dyDescent="0.25">
      <c r="A68" s="7" t="s">
        <v>115</v>
      </c>
      <c r="B68" s="7">
        <v>36861</v>
      </c>
      <c r="C68" s="7">
        <v>37560</v>
      </c>
      <c r="D68" s="3">
        <f t="shared" si="0"/>
        <v>699</v>
      </c>
    </row>
    <row r="69" spans="1:4" ht="15" x14ac:dyDescent="0.25">
      <c r="A69" s="7" t="s">
        <v>116</v>
      </c>
      <c r="B69" s="7">
        <v>37461</v>
      </c>
      <c r="C69" s="7">
        <v>38160</v>
      </c>
      <c r="D69" s="3">
        <f t="shared" si="0"/>
        <v>699</v>
      </c>
    </row>
    <row r="70" spans="1:4" ht="15" x14ac:dyDescent="0.25">
      <c r="A70" s="7" t="s">
        <v>114</v>
      </c>
      <c r="B70" s="7">
        <v>38564</v>
      </c>
      <c r="C70" s="7">
        <v>39292</v>
      </c>
      <c r="D70" s="3">
        <f t="shared" si="0"/>
        <v>728</v>
      </c>
    </row>
    <row r="71" spans="1:4" ht="15" x14ac:dyDescent="0.25">
      <c r="A71" s="7" t="s">
        <v>117</v>
      </c>
      <c r="B71" s="7">
        <v>39057</v>
      </c>
      <c r="C71" s="7">
        <v>39784</v>
      </c>
      <c r="D71" s="3">
        <f t="shared" si="0"/>
        <v>727</v>
      </c>
    </row>
    <row r="72" spans="1:4" ht="15" x14ac:dyDescent="0.25">
      <c r="A72" s="7" t="s">
        <v>118</v>
      </c>
      <c r="B72" s="7">
        <v>39781</v>
      </c>
      <c r="C72" s="7">
        <v>40599</v>
      </c>
      <c r="D72" s="3">
        <f t="shared" si="0"/>
        <v>818</v>
      </c>
    </row>
    <row r="73" spans="1:4" ht="15" x14ac:dyDescent="0.25">
      <c r="A73" s="7" t="s">
        <v>119</v>
      </c>
      <c r="B73" s="7">
        <v>40405</v>
      </c>
      <c r="C73" s="7">
        <v>41223</v>
      </c>
      <c r="D73" s="3">
        <f t="shared" si="0"/>
        <v>818</v>
      </c>
    </row>
    <row r="74" spans="1:4" ht="15" x14ac:dyDescent="0.25">
      <c r="A74" s="7" t="s">
        <v>120</v>
      </c>
      <c r="B74" s="9">
        <v>40588</v>
      </c>
      <c r="C74" s="7">
        <v>41408</v>
      </c>
      <c r="D74" s="3">
        <f t="shared" si="0"/>
        <v>820</v>
      </c>
    </row>
    <row r="75" spans="1:4" ht="15" x14ac:dyDescent="0.25">
      <c r="A75" s="7" t="s">
        <v>121</v>
      </c>
      <c r="B75" s="7">
        <v>41228</v>
      </c>
      <c r="C75" s="7">
        <v>42047</v>
      </c>
      <c r="D75" s="3">
        <f t="shared" si="0"/>
        <v>819</v>
      </c>
    </row>
    <row r="76" spans="1:4" ht="15" x14ac:dyDescent="0.25">
      <c r="A76" s="7" t="s">
        <v>122</v>
      </c>
      <c r="B76" s="9">
        <v>41865</v>
      </c>
      <c r="C76" s="7">
        <v>42750</v>
      </c>
      <c r="D76" s="3">
        <f t="shared" si="0"/>
        <v>885</v>
      </c>
    </row>
    <row r="77" spans="1:4" ht="15" x14ac:dyDescent="0.25">
      <c r="A77" s="7" t="s">
        <v>123</v>
      </c>
      <c r="B77" s="7">
        <v>42511</v>
      </c>
      <c r="C77" s="7">
        <v>43396</v>
      </c>
      <c r="D77" s="3">
        <f t="shared" si="0"/>
        <v>885</v>
      </c>
    </row>
    <row r="78" spans="1:4" ht="15" x14ac:dyDescent="0.25">
      <c r="A78" s="7" t="s">
        <v>124</v>
      </c>
      <c r="B78" s="7">
        <v>43110</v>
      </c>
      <c r="C78" s="7">
        <v>44013</v>
      </c>
      <c r="D78" s="3">
        <f t="shared" si="0"/>
        <v>903</v>
      </c>
    </row>
    <row r="79" spans="1:4" ht="15" x14ac:dyDescent="0.25">
      <c r="A79" s="5" t="s">
        <v>10</v>
      </c>
      <c r="B79" s="7">
        <v>43756</v>
      </c>
      <c r="C79" s="7">
        <v>44660</v>
      </c>
      <c r="D79" s="3">
        <f t="shared" si="0"/>
        <v>904</v>
      </c>
    </row>
    <row r="80" spans="1:4" ht="15" x14ac:dyDescent="0.25">
      <c r="A80" s="5" t="s">
        <v>31</v>
      </c>
      <c r="B80" s="7">
        <v>44418</v>
      </c>
      <c r="C80" s="7">
        <v>45323</v>
      </c>
      <c r="D80" s="3">
        <f t="shared" ref="D80:D146" si="1">IF(C80&lt;&gt;"",IF(B80&lt;&gt;"",C80-B80,"-"), "-")</f>
        <v>905</v>
      </c>
    </row>
    <row r="81" spans="1:5" ht="15" x14ac:dyDescent="0.25">
      <c r="A81" s="5" t="s">
        <v>11</v>
      </c>
      <c r="B81" s="7">
        <v>45077</v>
      </c>
      <c r="C81" s="7">
        <v>45982</v>
      </c>
      <c r="D81" s="3">
        <f t="shared" si="1"/>
        <v>905</v>
      </c>
    </row>
    <row r="82" spans="1:5" ht="15" x14ac:dyDescent="0.25">
      <c r="A82" s="5" t="s">
        <v>30</v>
      </c>
      <c r="B82" s="7">
        <v>45719</v>
      </c>
      <c r="C82" s="7">
        <v>46621</v>
      </c>
      <c r="D82" s="3">
        <f t="shared" si="1"/>
        <v>902</v>
      </c>
      <c r="E82" t="s">
        <v>145</v>
      </c>
    </row>
    <row r="83" spans="1:5" ht="15" x14ac:dyDescent="0.25">
      <c r="A83" s="5" t="s">
        <v>12</v>
      </c>
      <c r="B83" s="7">
        <v>46378</v>
      </c>
      <c r="C83" s="7">
        <v>47280</v>
      </c>
      <c r="D83" s="3">
        <f t="shared" si="1"/>
        <v>902</v>
      </c>
    </row>
    <row r="84" spans="1:5" ht="15" x14ac:dyDescent="0.25">
      <c r="A84" s="5" t="s">
        <v>32</v>
      </c>
      <c r="B84" s="7">
        <v>46984</v>
      </c>
      <c r="C84" s="7">
        <v>47936</v>
      </c>
      <c r="D84" s="3">
        <f t="shared" si="1"/>
        <v>952</v>
      </c>
    </row>
    <row r="85" spans="1:5" ht="15" x14ac:dyDescent="0.25">
      <c r="A85" s="5" t="s">
        <v>13</v>
      </c>
      <c r="B85" s="7">
        <v>47629</v>
      </c>
      <c r="C85" s="7">
        <v>48581</v>
      </c>
      <c r="D85" s="3">
        <f t="shared" si="1"/>
        <v>952</v>
      </c>
    </row>
    <row r="86" spans="1:5" ht="15" x14ac:dyDescent="0.25">
      <c r="A86" s="7" t="s">
        <v>47</v>
      </c>
      <c r="B86" s="7">
        <v>48410</v>
      </c>
      <c r="C86" s="10">
        <v>49362</v>
      </c>
      <c r="D86" s="3">
        <f t="shared" si="1"/>
        <v>952</v>
      </c>
    </row>
    <row r="87" spans="1:5" ht="15" x14ac:dyDescent="0.25">
      <c r="A87" s="7" t="s">
        <v>48</v>
      </c>
      <c r="B87" s="7">
        <v>48908</v>
      </c>
      <c r="C87" s="7">
        <v>49860</v>
      </c>
      <c r="D87" s="3">
        <f t="shared" si="1"/>
        <v>952</v>
      </c>
    </row>
    <row r="88" spans="1:5" ht="15" x14ac:dyDescent="0.25">
      <c r="A88" s="7" t="s">
        <v>33</v>
      </c>
      <c r="B88" s="7">
        <v>49856</v>
      </c>
      <c r="C88" s="7">
        <v>50845</v>
      </c>
      <c r="D88" s="3">
        <f t="shared" si="1"/>
        <v>989</v>
      </c>
    </row>
    <row r="89" spans="1:5" ht="15" x14ac:dyDescent="0.25">
      <c r="A89" s="5" t="s">
        <v>14</v>
      </c>
      <c r="B89" s="7">
        <v>50516</v>
      </c>
      <c r="C89" s="7">
        <v>51505</v>
      </c>
      <c r="D89" s="3">
        <f t="shared" si="1"/>
        <v>989</v>
      </c>
    </row>
    <row r="90" spans="1:5" ht="15" x14ac:dyDescent="0.25">
      <c r="A90" s="5" t="s">
        <v>34</v>
      </c>
      <c r="B90" s="7">
        <v>50874</v>
      </c>
      <c r="C90" s="7">
        <v>51888</v>
      </c>
      <c r="D90" s="3">
        <f t="shared" si="1"/>
        <v>1014</v>
      </c>
    </row>
    <row r="91" spans="1:5" ht="15" x14ac:dyDescent="0.25">
      <c r="A91" s="5" t="s">
        <v>15</v>
      </c>
      <c r="B91" s="7">
        <v>51486</v>
      </c>
      <c r="C91" s="7">
        <v>52500</v>
      </c>
      <c r="D91" s="3">
        <f t="shared" si="1"/>
        <v>1014</v>
      </c>
    </row>
    <row r="92" spans="1:5" ht="15" x14ac:dyDescent="0.25">
      <c r="A92" s="5" t="s">
        <v>35</v>
      </c>
      <c r="B92" s="7">
        <v>52507</v>
      </c>
      <c r="C92" s="7">
        <v>53522</v>
      </c>
      <c r="D92" s="3">
        <f t="shared" si="1"/>
        <v>1015</v>
      </c>
    </row>
    <row r="93" spans="1:5" ht="15" x14ac:dyDescent="0.25">
      <c r="A93" s="5" t="s">
        <v>16</v>
      </c>
      <c r="B93" s="7">
        <v>53153</v>
      </c>
      <c r="C93" s="7">
        <v>54167</v>
      </c>
      <c r="D93" s="3">
        <f t="shared" si="1"/>
        <v>1014</v>
      </c>
    </row>
    <row r="94" spans="1:5" ht="15" x14ac:dyDescent="0.25">
      <c r="A94" s="5" t="s">
        <v>36</v>
      </c>
      <c r="B94" s="7">
        <v>53942</v>
      </c>
      <c r="C94" s="7">
        <v>55036</v>
      </c>
      <c r="D94" s="3">
        <f t="shared" si="1"/>
        <v>1094</v>
      </c>
    </row>
    <row r="95" spans="1:5" ht="15" x14ac:dyDescent="0.25">
      <c r="A95" s="5" t="s">
        <v>17</v>
      </c>
      <c r="B95" s="7">
        <v>54564</v>
      </c>
      <c r="C95" s="7">
        <v>55658</v>
      </c>
      <c r="D95" s="3">
        <f t="shared" si="1"/>
        <v>1094</v>
      </c>
    </row>
    <row r="96" spans="1:5" ht="15" x14ac:dyDescent="0.25">
      <c r="A96" s="5" t="s">
        <v>37</v>
      </c>
      <c r="B96" s="7">
        <v>55596</v>
      </c>
      <c r="C96" s="7">
        <v>56780</v>
      </c>
      <c r="D96" s="3">
        <f t="shared" si="1"/>
        <v>1184</v>
      </c>
    </row>
    <row r="97" spans="1:4" ht="15" x14ac:dyDescent="0.25">
      <c r="A97" s="5" t="s">
        <v>18</v>
      </c>
      <c r="B97" s="7">
        <v>56185</v>
      </c>
      <c r="C97" s="7">
        <v>57370</v>
      </c>
      <c r="D97" s="3">
        <f t="shared" si="1"/>
        <v>1185</v>
      </c>
    </row>
    <row r="98" spans="1:4" ht="15" x14ac:dyDescent="0.25">
      <c r="A98" s="5"/>
      <c r="B98" s="7">
        <v>56464</v>
      </c>
      <c r="C98" s="7">
        <v>57647</v>
      </c>
      <c r="D98" s="3">
        <f t="shared" si="1"/>
        <v>1183</v>
      </c>
    </row>
    <row r="99" spans="1:4" ht="15" x14ac:dyDescent="0.25">
      <c r="A99" s="5" t="s">
        <v>38</v>
      </c>
      <c r="B99" s="7">
        <v>56572</v>
      </c>
      <c r="C99" s="7">
        <v>57753</v>
      </c>
      <c r="D99" s="3">
        <f t="shared" si="1"/>
        <v>1181</v>
      </c>
    </row>
    <row r="100" spans="1:4" ht="15" x14ac:dyDescent="0.25">
      <c r="A100" s="5" t="s">
        <v>19</v>
      </c>
      <c r="B100" s="7">
        <v>57217</v>
      </c>
      <c r="C100" s="7">
        <v>58399</v>
      </c>
      <c r="D100" s="3">
        <f t="shared" si="1"/>
        <v>1182</v>
      </c>
    </row>
    <row r="101" spans="1:4" ht="15" x14ac:dyDescent="0.25">
      <c r="A101" s="10" t="s">
        <v>153</v>
      </c>
      <c r="B101" s="7">
        <v>57373</v>
      </c>
      <c r="C101" s="7">
        <v>58573</v>
      </c>
      <c r="D101" s="3">
        <f t="shared" si="1"/>
        <v>1200</v>
      </c>
    </row>
    <row r="102" spans="1:4" ht="15" x14ac:dyDescent="0.25">
      <c r="A102" s="10" t="s">
        <v>154</v>
      </c>
      <c r="B102" s="7">
        <v>57657</v>
      </c>
      <c r="C102" s="7">
        <v>58806</v>
      </c>
      <c r="D102" s="3">
        <f t="shared" si="1"/>
        <v>1149</v>
      </c>
    </row>
    <row r="103" spans="1:4" ht="15" x14ac:dyDescent="0.25">
      <c r="A103" s="5" t="s">
        <v>39</v>
      </c>
      <c r="B103" s="7">
        <v>58008</v>
      </c>
      <c r="C103" s="7">
        <v>59225</v>
      </c>
      <c r="D103" s="3">
        <f t="shared" si="1"/>
        <v>1217</v>
      </c>
    </row>
    <row r="104" spans="1:4" ht="15" x14ac:dyDescent="0.25">
      <c r="A104" s="5" t="s">
        <v>20</v>
      </c>
      <c r="B104" s="7">
        <v>58608</v>
      </c>
      <c r="C104" s="7">
        <v>59837</v>
      </c>
      <c r="D104" s="3">
        <f t="shared" si="1"/>
        <v>1229</v>
      </c>
    </row>
    <row r="105" spans="1:4" ht="15" x14ac:dyDescent="0.25">
      <c r="A105" s="5" t="s">
        <v>40</v>
      </c>
      <c r="B105" s="7">
        <v>59190</v>
      </c>
      <c r="C105" s="7">
        <v>60457</v>
      </c>
      <c r="D105" s="3">
        <f t="shared" si="1"/>
        <v>1267</v>
      </c>
    </row>
    <row r="106" spans="1:4" ht="15" x14ac:dyDescent="0.25">
      <c r="A106" s="5" t="s">
        <v>21</v>
      </c>
      <c r="B106" s="7">
        <v>59825</v>
      </c>
      <c r="C106" s="7">
        <v>61092</v>
      </c>
      <c r="D106" s="3">
        <f t="shared" si="1"/>
        <v>1267</v>
      </c>
    </row>
    <row r="107" spans="1:4" ht="15" x14ac:dyDescent="0.25">
      <c r="A107" s="5" t="s">
        <v>41</v>
      </c>
      <c r="B107" s="7">
        <v>60441</v>
      </c>
      <c r="C107" s="7">
        <v>61730</v>
      </c>
      <c r="D107" s="3">
        <f t="shared" si="1"/>
        <v>1289</v>
      </c>
    </row>
    <row r="108" spans="1:4" ht="15" x14ac:dyDescent="0.25">
      <c r="A108" s="5" t="s">
        <v>22</v>
      </c>
      <c r="B108" s="7">
        <v>61093</v>
      </c>
      <c r="C108" s="7">
        <v>62383</v>
      </c>
      <c r="D108" s="3">
        <f t="shared" si="1"/>
        <v>1290</v>
      </c>
    </row>
    <row r="109" spans="1:4" ht="15" x14ac:dyDescent="0.25">
      <c r="A109" s="5" t="s">
        <v>42</v>
      </c>
      <c r="B109" s="10">
        <v>61914</v>
      </c>
      <c r="C109" s="7">
        <v>63213</v>
      </c>
      <c r="D109" s="3">
        <f t="shared" si="1"/>
        <v>1299</v>
      </c>
    </row>
    <row r="110" spans="1:4" ht="15" x14ac:dyDescent="0.25">
      <c r="A110" s="5" t="s">
        <v>23</v>
      </c>
      <c r="B110" s="7">
        <v>62575</v>
      </c>
      <c r="C110" s="7">
        <v>63858</v>
      </c>
      <c r="D110" s="3">
        <f t="shared" si="1"/>
        <v>1283</v>
      </c>
    </row>
    <row r="111" spans="1:4" ht="15" x14ac:dyDescent="0.25">
      <c r="A111" s="5" t="s">
        <v>43</v>
      </c>
      <c r="B111" s="7">
        <v>63180</v>
      </c>
      <c r="C111" s="7">
        <v>64481</v>
      </c>
      <c r="D111" s="3">
        <f t="shared" si="1"/>
        <v>1301</v>
      </c>
    </row>
    <row r="112" spans="1:4" ht="15" x14ac:dyDescent="0.25">
      <c r="A112" s="5" t="s">
        <v>24</v>
      </c>
      <c r="B112" s="7">
        <v>63825</v>
      </c>
      <c r="C112" s="7">
        <v>65126</v>
      </c>
      <c r="D112" s="3">
        <f t="shared" si="1"/>
        <v>1301</v>
      </c>
    </row>
    <row r="113" spans="1:5" ht="15" x14ac:dyDescent="0.25">
      <c r="A113" s="5" t="s">
        <v>44</v>
      </c>
      <c r="B113" s="7">
        <v>64581</v>
      </c>
      <c r="C113" s="7">
        <v>65887</v>
      </c>
      <c r="D113" s="3">
        <f t="shared" si="1"/>
        <v>1306</v>
      </c>
      <c r="E113" s="7">
        <v>64585</v>
      </c>
    </row>
    <row r="114" spans="1:5" ht="15" x14ac:dyDescent="0.25">
      <c r="A114" s="5" t="s">
        <v>25</v>
      </c>
      <c r="B114" s="7">
        <v>65231</v>
      </c>
      <c r="C114" s="7">
        <v>66532</v>
      </c>
      <c r="D114" s="3">
        <f t="shared" si="1"/>
        <v>1301</v>
      </c>
      <c r="E114" s="7">
        <v>65231</v>
      </c>
    </row>
    <row r="115" spans="1:5" ht="15" x14ac:dyDescent="0.25">
      <c r="A115" s="5" t="s">
        <v>26</v>
      </c>
      <c r="B115" s="7">
        <v>65818</v>
      </c>
      <c r="C115" s="7">
        <v>67115</v>
      </c>
      <c r="D115" s="3">
        <f t="shared" si="1"/>
        <v>1297</v>
      </c>
      <c r="E115" s="7">
        <v>65820</v>
      </c>
    </row>
    <row r="116" spans="1:5" ht="15" x14ac:dyDescent="0.25">
      <c r="A116" s="7"/>
      <c r="B116" s="7"/>
      <c r="C116" s="10" t="s">
        <v>152</v>
      </c>
      <c r="D116" s="3" t="str">
        <f t="shared" si="1"/>
        <v>-</v>
      </c>
    </row>
    <row r="117" spans="1:5" ht="15" x14ac:dyDescent="0.25">
      <c r="A117" s="7"/>
      <c r="B117" s="7"/>
      <c r="C117" s="7"/>
      <c r="D117" s="3" t="str">
        <f t="shared" si="1"/>
        <v>-</v>
      </c>
    </row>
    <row r="118" spans="1:5" ht="15" x14ac:dyDescent="0.25">
      <c r="A118" s="7"/>
      <c r="B118" s="7"/>
      <c r="C118" s="7"/>
      <c r="D118" s="3" t="str">
        <f t="shared" si="1"/>
        <v>-</v>
      </c>
    </row>
    <row r="119" spans="1:5" ht="15" x14ac:dyDescent="0.25">
      <c r="A119" s="7"/>
      <c r="B119" s="7"/>
      <c r="C119" s="7"/>
      <c r="D119" s="3" t="str">
        <f t="shared" si="1"/>
        <v>-</v>
      </c>
    </row>
    <row r="120" spans="1:5" ht="15" x14ac:dyDescent="0.25">
      <c r="A120" s="7"/>
      <c r="B120" s="7"/>
      <c r="C120" s="7"/>
      <c r="D120" s="3" t="str">
        <f t="shared" si="1"/>
        <v>-</v>
      </c>
    </row>
    <row r="121" spans="1:5" ht="15" x14ac:dyDescent="0.25">
      <c r="A121" s="7"/>
      <c r="B121" s="7"/>
      <c r="C121" s="7"/>
      <c r="D121" s="3" t="str">
        <f t="shared" si="1"/>
        <v>-</v>
      </c>
    </row>
    <row r="122" spans="1:5" ht="15" x14ac:dyDescent="0.25">
      <c r="A122" s="7"/>
      <c r="B122" s="7"/>
      <c r="C122" s="7"/>
      <c r="D122" s="3" t="str">
        <f t="shared" si="1"/>
        <v>-</v>
      </c>
    </row>
    <row r="123" spans="1:5" ht="15" x14ac:dyDescent="0.25">
      <c r="A123" s="7"/>
      <c r="B123" s="7"/>
      <c r="C123" s="7"/>
      <c r="D123" s="3" t="str">
        <f t="shared" si="1"/>
        <v>-</v>
      </c>
    </row>
    <row r="124" spans="1:5" ht="15" x14ac:dyDescent="0.25">
      <c r="A124" s="7"/>
      <c r="B124" s="7"/>
      <c r="C124" s="7"/>
      <c r="D124" s="3" t="str">
        <f t="shared" si="1"/>
        <v>-</v>
      </c>
    </row>
    <row r="125" spans="1:5" ht="15" x14ac:dyDescent="0.25">
      <c r="A125" s="7"/>
      <c r="B125" s="7"/>
      <c r="C125" s="7"/>
      <c r="D125" s="3" t="str">
        <f t="shared" si="1"/>
        <v>-</v>
      </c>
    </row>
    <row r="126" spans="1:5" ht="15" x14ac:dyDescent="0.25">
      <c r="A126" s="7"/>
      <c r="B126" s="7"/>
      <c r="C126" s="7"/>
      <c r="D126" s="3" t="str">
        <f t="shared" si="1"/>
        <v>-</v>
      </c>
    </row>
    <row r="127" spans="1:5" ht="15" x14ac:dyDescent="0.25">
      <c r="A127" s="7"/>
      <c r="B127" s="7"/>
      <c r="C127" s="7"/>
      <c r="D127" s="3" t="str">
        <f t="shared" si="1"/>
        <v>-</v>
      </c>
    </row>
    <row r="128" spans="1:5" ht="15" x14ac:dyDescent="0.25">
      <c r="A128" s="7"/>
      <c r="B128" s="7"/>
      <c r="C128" s="7"/>
      <c r="D128" s="3" t="str">
        <f t="shared" si="1"/>
        <v>-</v>
      </c>
    </row>
    <row r="129" spans="1:4" ht="15" x14ac:dyDescent="0.25">
      <c r="A129" s="7"/>
      <c r="B129" s="7"/>
      <c r="C129" s="7"/>
      <c r="D129" s="3" t="str">
        <f t="shared" si="1"/>
        <v>-</v>
      </c>
    </row>
    <row r="130" spans="1:4" ht="15" x14ac:dyDescent="0.25">
      <c r="A130" s="7"/>
      <c r="B130" s="7"/>
      <c r="C130" s="7"/>
      <c r="D130" s="3" t="str">
        <f t="shared" si="1"/>
        <v>-</v>
      </c>
    </row>
    <row r="131" spans="1:4" ht="15" x14ac:dyDescent="0.25">
      <c r="A131" s="7"/>
      <c r="B131" s="7"/>
      <c r="C131" s="7"/>
      <c r="D131" s="3" t="str">
        <f t="shared" si="1"/>
        <v>-</v>
      </c>
    </row>
    <row r="132" spans="1:4" ht="15" x14ac:dyDescent="0.25">
      <c r="A132" s="7"/>
      <c r="B132" s="7"/>
      <c r="C132" s="7"/>
      <c r="D132" s="3" t="str">
        <f t="shared" si="1"/>
        <v>-</v>
      </c>
    </row>
    <row r="133" spans="1:4" ht="15" x14ac:dyDescent="0.25">
      <c r="A133" s="7"/>
      <c r="B133" s="7"/>
      <c r="C133" s="7"/>
      <c r="D133" s="3" t="str">
        <f t="shared" si="1"/>
        <v>-</v>
      </c>
    </row>
    <row r="134" spans="1:4" ht="15" x14ac:dyDescent="0.25">
      <c r="A134" s="7"/>
      <c r="B134" s="7"/>
      <c r="C134" s="7"/>
      <c r="D134" s="3" t="str">
        <f t="shared" si="1"/>
        <v>-</v>
      </c>
    </row>
    <row r="135" spans="1:4" ht="15" x14ac:dyDescent="0.25">
      <c r="A135" s="7"/>
      <c r="B135" s="7"/>
      <c r="C135" s="7"/>
      <c r="D135" s="3" t="str">
        <f t="shared" si="1"/>
        <v>-</v>
      </c>
    </row>
    <row r="136" spans="1:4" ht="15" x14ac:dyDescent="0.25">
      <c r="A136" s="7"/>
      <c r="B136" s="7"/>
      <c r="C136" s="7"/>
      <c r="D136" s="3" t="str">
        <f t="shared" si="1"/>
        <v>-</v>
      </c>
    </row>
    <row r="137" spans="1:4" ht="15" x14ac:dyDescent="0.25">
      <c r="A137" s="7"/>
      <c r="B137" s="7"/>
      <c r="C137" s="7"/>
      <c r="D137" s="3" t="str">
        <f t="shared" si="1"/>
        <v>-</v>
      </c>
    </row>
    <row r="138" spans="1:4" ht="15" x14ac:dyDescent="0.25">
      <c r="A138" s="7"/>
      <c r="B138" s="7"/>
      <c r="C138" s="7"/>
      <c r="D138" s="3" t="str">
        <f t="shared" si="1"/>
        <v>-</v>
      </c>
    </row>
    <row r="139" spans="1:4" ht="15" x14ac:dyDescent="0.25">
      <c r="A139" s="7"/>
      <c r="B139" s="7"/>
      <c r="C139" s="7"/>
      <c r="D139" s="3" t="str">
        <f t="shared" si="1"/>
        <v>-</v>
      </c>
    </row>
    <row r="140" spans="1:4" ht="15" x14ac:dyDescent="0.25">
      <c r="A140" s="7"/>
      <c r="B140" s="7"/>
      <c r="C140" s="7"/>
      <c r="D140" s="3" t="str">
        <f t="shared" si="1"/>
        <v>-</v>
      </c>
    </row>
    <row r="141" spans="1:4" ht="15" x14ac:dyDescent="0.25">
      <c r="A141" s="7"/>
      <c r="B141" s="7"/>
      <c r="C141" s="7"/>
      <c r="D141" s="3" t="str">
        <f t="shared" si="1"/>
        <v>-</v>
      </c>
    </row>
    <row r="142" spans="1:4" ht="15" x14ac:dyDescent="0.25">
      <c r="A142" s="7"/>
      <c r="B142" s="7"/>
      <c r="C142" s="7"/>
      <c r="D142" s="3" t="str">
        <f t="shared" si="1"/>
        <v>-</v>
      </c>
    </row>
    <row r="143" spans="1:4" ht="15" x14ac:dyDescent="0.25">
      <c r="A143" s="7"/>
      <c r="B143" s="7"/>
      <c r="C143" s="7"/>
      <c r="D143" s="3" t="str">
        <f t="shared" si="1"/>
        <v>-</v>
      </c>
    </row>
    <row r="144" spans="1:4" ht="15" x14ac:dyDescent="0.25">
      <c r="A144" s="7"/>
      <c r="B144" s="7"/>
      <c r="C144" s="7"/>
      <c r="D144" s="3" t="str">
        <f t="shared" si="1"/>
        <v>-</v>
      </c>
    </row>
    <row r="145" spans="1:4" ht="15" x14ac:dyDescent="0.25">
      <c r="A145" s="7"/>
      <c r="B145" s="7"/>
      <c r="C145" s="7"/>
      <c r="D145" s="3" t="str">
        <f t="shared" si="1"/>
        <v>-</v>
      </c>
    </row>
    <row r="146" spans="1:4" ht="15" x14ac:dyDescent="0.25">
      <c r="A146" s="7"/>
      <c r="B146" s="7"/>
      <c r="C146" s="7"/>
      <c r="D146" s="3" t="str">
        <f t="shared" si="1"/>
        <v>-</v>
      </c>
    </row>
    <row r="147" spans="1:4" ht="15" x14ac:dyDescent="0.25">
      <c r="A147" s="7"/>
      <c r="B147" s="7"/>
      <c r="C147" s="7"/>
      <c r="D147" s="3" t="str">
        <f t="shared" ref="D147:D151" si="2">IF(C147&lt;&gt;"",IF(B147&lt;&gt;"",C147-B147,"-"), "-")</f>
        <v>-</v>
      </c>
    </row>
    <row r="148" spans="1:4" ht="15" x14ac:dyDescent="0.25">
      <c r="A148" s="7"/>
      <c r="B148" s="7"/>
      <c r="C148" s="7"/>
      <c r="D148" s="3" t="str">
        <f t="shared" si="2"/>
        <v>-</v>
      </c>
    </row>
    <row r="149" spans="1:4" ht="15" x14ac:dyDescent="0.25">
      <c r="A149" s="7"/>
      <c r="B149" s="7"/>
      <c r="C149" s="7"/>
      <c r="D149" s="3" t="str">
        <f t="shared" si="2"/>
        <v>-</v>
      </c>
    </row>
    <row r="150" spans="1:4" ht="15" x14ac:dyDescent="0.25">
      <c r="A150" s="7"/>
      <c r="B150" s="7"/>
      <c r="D150" s="3" t="str">
        <f t="shared" si="2"/>
        <v>-</v>
      </c>
    </row>
    <row r="151" spans="1:4" ht="15" x14ac:dyDescent="0.25">
      <c r="A151" s="7"/>
      <c r="B151" s="7"/>
      <c r="D151" s="3" t="str">
        <f t="shared" si="2"/>
        <v>-</v>
      </c>
    </row>
    <row r="152" spans="1:4" ht="15" x14ac:dyDescent="0.25">
      <c r="A152" s="7"/>
      <c r="B152" s="7"/>
      <c r="D152" s="3" t="str">
        <f t="shared" ref="D152:D153" si="3">IF(C152&lt;&gt;"",IF(B152&lt;&gt;"",B152-C152,"-"), "-")</f>
        <v>-</v>
      </c>
    </row>
    <row r="153" spans="1:4" ht="15" x14ac:dyDescent="0.25">
      <c r="A153" s="7"/>
      <c r="B153" s="7"/>
      <c r="D153" s="3" t="str">
        <f t="shared" si="3"/>
        <v>-</v>
      </c>
    </row>
    <row r="154" spans="1:4" ht="15" x14ac:dyDescent="0.25">
      <c r="A154" s="7"/>
      <c r="B154" s="7"/>
    </row>
    <row r="155" spans="1:4" ht="15" x14ac:dyDescent="0.25">
      <c r="A155" s="7"/>
      <c r="B155" s="7"/>
    </row>
    <row r="156" spans="1:4" ht="15" x14ac:dyDescent="0.25">
      <c r="B156" s="7"/>
    </row>
    <row r="157" spans="1:4" ht="15" x14ac:dyDescent="0.25">
      <c r="B157" s="7"/>
    </row>
    <row r="158" spans="1:4" ht="15" x14ac:dyDescent="0.25">
      <c r="B158" s="7"/>
    </row>
    <row r="159" spans="1:4" ht="15" x14ac:dyDescent="0.25">
      <c r="B159" s="7"/>
    </row>
    <row r="160" spans="1:4" ht="15" x14ac:dyDescent="0.25">
      <c r="B160" s="7"/>
    </row>
    <row r="161" spans="2:2" ht="15" x14ac:dyDescent="0.25">
      <c r="B161" s="7"/>
    </row>
    <row r="162" spans="2:2" ht="15" x14ac:dyDescent="0.25">
      <c r="B162" s="7"/>
    </row>
    <row r="163" spans="2:2" ht="15" x14ac:dyDescent="0.25">
      <c r="B163" s="7"/>
    </row>
    <row r="164" spans="2:2" ht="15" x14ac:dyDescent="0.25">
      <c r="B164" s="7"/>
    </row>
    <row r="165" spans="2:2" ht="15" x14ac:dyDescent="0.25">
      <c r="B165" s="7"/>
    </row>
    <row r="166" spans="2:2" ht="15" x14ac:dyDescent="0.25">
      <c r="B166" s="7"/>
    </row>
    <row r="167" spans="2:2" ht="15" x14ac:dyDescent="0.25">
      <c r="B167" s="7"/>
    </row>
    <row r="168" spans="2:2" ht="15" x14ac:dyDescent="0.25">
      <c r="B168" s="7"/>
    </row>
    <row r="169" spans="2:2" ht="15" x14ac:dyDescent="0.25">
      <c r="B169" s="7"/>
    </row>
    <row r="170" spans="2:2" ht="15" x14ac:dyDescent="0.25">
      <c r="B170" s="7"/>
    </row>
    <row r="171" spans="2:2" ht="15" x14ac:dyDescent="0.25">
      <c r="B171" s="7"/>
    </row>
    <row r="172" spans="2:2" ht="15" x14ac:dyDescent="0.25">
      <c r="B172" s="7"/>
    </row>
    <row r="173" spans="2:2" ht="15" x14ac:dyDescent="0.25">
      <c r="B173" s="7"/>
    </row>
    <row r="174" spans="2:2" ht="15" x14ac:dyDescent="0.25">
      <c r="B174" s="7"/>
    </row>
    <row r="175" spans="2:2" ht="15" x14ac:dyDescent="0.25">
      <c r="B175" s="7"/>
    </row>
    <row r="176" spans="2:2" ht="15" x14ac:dyDescent="0.25">
      <c r="B176" s="7"/>
    </row>
    <row r="177" spans="2:2" ht="15" x14ac:dyDescent="0.25">
      <c r="B177" s="7"/>
    </row>
    <row r="178" spans="2:2" ht="15" x14ac:dyDescent="0.25">
      <c r="B178" s="7"/>
    </row>
    <row r="179" spans="2:2" ht="15" x14ac:dyDescent="0.25">
      <c r="B179" s="7"/>
    </row>
    <row r="180" spans="2:2" ht="15" x14ac:dyDescent="0.25">
      <c r="B180" s="7"/>
    </row>
    <row r="181" spans="2:2" ht="15" x14ac:dyDescent="0.25">
      <c r="B181" s="7"/>
    </row>
    <row r="182" spans="2:2" ht="15" x14ac:dyDescent="0.25">
      <c r="B182" s="7"/>
    </row>
    <row r="183" spans="2:2" ht="15" x14ac:dyDescent="0.25">
      <c r="B183" s="7"/>
    </row>
    <row r="184" spans="2:2" ht="15" x14ac:dyDescent="0.25">
      <c r="B184" s="7"/>
    </row>
    <row r="185" spans="2:2" ht="15" x14ac:dyDescent="0.25">
      <c r="B185" s="7"/>
    </row>
    <row r="186" spans="2:2" ht="15" x14ac:dyDescent="0.25">
      <c r="B186" s="7"/>
    </row>
    <row r="187" spans="2:2" ht="15" x14ac:dyDescent="0.25">
      <c r="B187" s="7"/>
    </row>
    <row r="188" spans="2:2" ht="15" x14ac:dyDescent="0.25">
      <c r="B188" s="7"/>
    </row>
    <row r="189" spans="2:2" ht="15" x14ac:dyDescent="0.25">
      <c r="B189" s="7"/>
    </row>
    <row r="190" spans="2:2" ht="15" x14ac:dyDescent="0.25">
      <c r="B190" s="7"/>
    </row>
    <row r="191" spans="2:2" ht="15" x14ac:dyDescent="0.25">
      <c r="B191" s="7"/>
    </row>
    <row r="192" spans="2:2" ht="15" x14ac:dyDescent="0.25">
      <c r="B192" s="7"/>
    </row>
    <row r="193" spans="2:2" ht="15" x14ac:dyDescent="0.25">
      <c r="B193" s="7"/>
    </row>
    <row r="194" spans="2:2" ht="15" x14ac:dyDescent="0.25">
      <c r="B194" s="7"/>
    </row>
    <row r="195" spans="2:2" ht="15" x14ac:dyDescent="0.25">
      <c r="B195" s="7"/>
    </row>
    <row r="196" spans="2:2" ht="15" x14ac:dyDescent="0.25">
      <c r="B196" s="7"/>
    </row>
    <row r="197" spans="2:2" ht="15" x14ac:dyDescent="0.25">
      <c r="B197" s="7"/>
    </row>
    <row r="198" spans="2:2" ht="15" x14ac:dyDescent="0.25">
      <c r="B198" s="7"/>
    </row>
    <row r="199" spans="2:2" ht="15" x14ac:dyDescent="0.25">
      <c r="B199" s="7"/>
    </row>
    <row r="200" spans="2:2" ht="15" x14ac:dyDescent="0.25">
      <c r="B200" s="7"/>
    </row>
    <row r="201" spans="2:2" ht="15" x14ac:dyDescent="0.25">
      <c r="B201" s="7"/>
    </row>
    <row r="202" spans="2:2" ht="15" x14ac:dyDescent="0.25">
      <c r="B202" s="7"/>
    </row>
    <row r="203" spans="2:2" ht="15" x14ac:dyDescent="0.25">
      <c r="B203" s="7"/>
    </row>
    <row r="204" spans="2:2" ht="15" x14ac:dyDescent="0.25">
      <c r="B204" s="7"/>
    </row>
    <row r="205" spans="2:2" ht="15" x14ac:dyDescent="0.25">
      <c r="B205" s="7"/>
    </row>
    <row r="206" spans="2:2" ht="15" x14ac:dyDescent="0.25">
      <c r="B206" s="7"/>
    </row>
    <row r="207" spans="2:2" ht="15" x14ac:dyDescent="0.25">
      <c r="B207" s="7"/>
    </row>
    <row r="208" spans="2:2" ht="15" x14ac:dyDescent="0.25">
      <c r="B208" s="7"/>
    </row>
    <row r="209" spans="2:2" ht="15" x14ac:dyDescent="0.25">
      <c r="B209" s="7"/>
    </row>
    <row r="210" spans="2:2" ht="15" x14ac:dyDescent="0.25">
      <c r="B210" s="7"/>
    </row>
    <row r="211" spans="2:2" ht="15" x14ac:dyDescent="0.25">
      <c r="B211" s="7"/>
    </row>
    <row r="212" spans="2:2" ht="15" x14ac:dyDescent="0.25">
      <c r="B212" s="7"/>
    </row>
    <row r="213" spans="2:2" ht="15" x14ac:dyDescent="0.25">
      <c r="B213" s="7"/>
    </row>
    <row r="214" spans="2:2" ht="15" x14ac:dyDescent="0.25">
      <c r="B214" s="7"/>
    </row>
    <row r="215" spans="2:2" ht="15" x14ac:dyDescent="0.25">
      <c r="B215" s="7"/>
    </row>
    <row r="216" spans="2:2" ht="15" x14ac:dyDescent="0.25">
      <c r="B216" s="7"/>
    </row>
    <row r="217" spans="2:2" ht="15" x14ac:dyDescent="0.25">
      <c r="B217" s="7"/>
    </row>
    <row r="218" spans="2:2" ht="15" x14ac:dyDescent="0.25">
      <c r="B218" s="7"/>
    </row>
    <row r="219" spans="2:2" ht="15" x14ac:dyDescent="0.25">
      <c r="B219" s="7"/>
    </row>
    <row r="220" spans="2:2" ht="15" x14ac:dyDescent="0.25">
      <c r="B220" s="7"/>
    </row>
    <row r="221" spans="2:2" ht="15" x14ac:dyDescent="0.25">
      <c r="B221" s="7"/>
    </row>
    <row r="222" spans="2:2" ht="15" x14ac:dyDescent="0.25">
      <c r="B222" s="7"/>
    </row>
    <row r="223" spans="2:2" ht="15" x14ac:dyDescent="0.25">
      <c r="B223" s="7"/>
    </row>
    <row r="224" spans="2:2" ht="15" x14ac:dyDescent="0.25">
      <c r="B224" s="7"/>
    </row>
    <row r="225" spans="2:2" ht="15" x14ac:dyDescent="0.25">
      <c r="B225" s="7"/>
    </row>
    <row r="226" spans="2:2" ht="15" x14ac:dyDescent="0.25">
      <c r="B226" s="7"/>
    </row>
    <row r="227" spans="2:2" ht="15" x14ac:dyDescent="0.25">
      <c r="B227" s="7"/>
    </row>
    <row r="228" spans="2:2" ht="15" x14ac:dyDescent="0.25">
      <c r="B228" s="7"/>
    </row>
    <row r="229" spans="2:2" ht="15" x14ac:dyDescent="0.25">
      <c r="B229" s="7"/>
    </row>
    <row r="230" spans="2:2" ht="15" x14ac:dyDescent="0.25">
      <c r="B230" s="7"/>
    </row>
    <row r="231" spans="2:2" ht="15" x14ac:dyDescent="0.25">
      <c r="B231" s="7"/>
    </row>
    <row r="232" spans="2:2" ht="15" x14ac:dyDescent="0.25">
      <c r="B232" s="7"/>
    </row>
    <row r="233" spans="2:2" ht="15" x14ac:dyDescent="0.25">
      <c r="B233" s="7"/>
    </row>
    <row r="234" spans="2:2" ht="15" x14ac:dyDescent="0.25">
      <c r="B234" s="7"/>
    </row>
    <row r="235" spans="2:2" ht="15" x14ac:dyDescent="0.25">
      <c r="B235" s="7"/>
    </row>
    <row r="236" spans="2:2" ht="15" x14ac:dyDescent="0.25">
      <c r="B236" s="7"/>
    </row>
    <row r="237" spans="2:2" ht="15" x14ac:dyDescent="0.25">
      <c r="B237" s="7"/>
    </row>
    <row r="238" spans="2:2" ht="15" x14ac:dyDescent="0.25">
      <c r="B238" s="7"/>
    </row>
    <row r="239" spans="2:2" ht="15" x14ac:dyDescent="0.25">
      <c r="B239" s="7"/>
    </row>
    <row r="240" spans="2:2" ht="15" x14ac:dyDescent="0.25">
      <c r="B240" s="7"/>
    </row>
    <row r="241" spans="2:2" ht="15" x14ac:dyDescent="0.25">
      <c r="B241" s="7"/>
    </row>
    <row r="242" spans="2:2" ht="15" x14ac:dyDescent="0.25">
      <c r="B242" s="7"/>
    </row>
    <row r="243" spans="2:2" ht="15" x14ac:dyDescent="0.25">
      <c r="B243" s="7"/>
    </row>
    <row r="244" spans="2:2" ht="15" x14ac:dyDescent="0.25">
      <c r="B244" s="7"/>
    </row>
    <row r="245" spans="2:2" ht="15" x14ac:dyDescent="0.25">
      <c r="B245" s="7"/>
    </row>
    <row r="246" spans="2:2" ht="15" x14ac:dyDescent="0.25">
      <c r="B246" s="7"/>
    </row>
    <row r="247" spans="2:2" ht="15" x14ac:dyDescent="0.25">
      <c r="B247" s="7"/>
    </row>
    <row r="248" spans="2:2" ht="15" x14ac:dyDescent="0.25">
      <c r="B248" s="7"/>
    </row>
    <row r="249" spans="2:2" ht="15" x14ac:dyDescent="0.25">
      <c r="B249" s="7"/>
    </row>
    <row r="250" spans="2:2" ht="15" x14ac:dyDescent="0.25">
      <c r="B250" s="7"/>
    </row>
    <row r="251" spans="2:2" ht="15" x14ac:dyDescent="0.25">
      <c r="B251" s="7"/>
    </row>
    <row r="252" spans="2:2" ht="15" x14ac:dyDescent="0.25">
      <c r="B252" s="7"/>
    </row>
    <row r="253" spans="2:2" ht="15" x14ac:dyDescent="0.25">
      <c r="B253" s="7"/>
    </row>
    <row r="254" spans="2:2" ht="15" x14ac:dyDescent="0.25">
      <c r="B254" s="7"/>
    </row>
    <row r="255" spans="2:2" ht="15" x14ac:dyDescent="0.25">
      <c r="B255" s="7"/>
    </row>
    <row r="256" spans="2:2" ht="15" x14ac:dyDescent="0.25">
      <c r="B256" s="7"/>
    </row>
    <row r="257" spans="2:2" ht="15" x14ac:dyDescent="0.25">
      <c r="B257" s="7"/>
    </row>
    <row r="258" spans="2:2" ht="15" x14ac:dyDescent="0.25">
      <c r="B258" s="7"/>
    </row>
    <row r="259" spans="2:2" ht="15" x14ac:dyDescent="0.25">
      <c r="B259" s="7"/>
    </row>
    <row r="260" spans="2:2" ht="15" x14ac:dyDescent="0.25">
      <c r="B260" s="7"/>
    </row>
    <row r="261" spans="2:2" ht="15" x14ac:dyDescent="0.25">
      <c r="B261" s="7"/>
    </row>
    <row r="262" spans="2:2" ht="15" x14ac:dyDescent="0.25">
      <c r="B262" s="7"/>
    </row>
    <row r="263" spans="2:2" ht="15" x14ac:dyDescent="0.25">
      <c r="B263" s="7"/>
    </row>
    <row r="264" spans="2:2" ht="15" x14ac:dyDescent="0.25">
      <c r="B264" s="7"/>
    </row>
    <row r="265" spans="2:2" ht="15" x14ac:dyDescent="0.25">
      <c r="B265" s="7"/>
    </row>
    <row r="266" spans="2:2" ht="15" x14ac:dyDescent="0.25">
      <c r="B266" s="7"/>
    </row>
    <row r="267" spans="2:2" ht="15" x14ac:dyDescent="0.25">
      <c r="B267" s="7"/>
    </row>
    <row r="268" spans="2:2" ht="15" x14ac:dyDescent="0.25">
      <c r="B268" s="7"/>
    </row>
    <row r="269" spans="2:2" ht="15" x14ac:dyDescent="0.25">
      <c r="B269" s="7"/>
    </row>
    <row r="270" spans="2:2" ht="15" x14ac:dyDescent="0.25">
      <c r="B270" s="7"/>
    </row>
    <row r="271" spans="2:2" ht="15" x14ac:dyDescent="0.25">
      <c r="B271" s="7"/>
    </row>
    <row r="272" spans="2:2" ht="15" x14ac:dyDescent="0.25">
      <c r="B272" s="7"/>
    </row>
    <row r="273" spans="2:2" ht="15" x14ac:dyDescent="0.25">
      <c r="B273" s="7"/>
    </row>
    <row r="274" spans="2:2" ht="15" x14ac:dyDescent="0.25">
      <c r="B274" s="7"/>
    </row>
    <row r="275" spans="2:2" ht="15" x14ac:dyDescent="0.25">
      <c r="B275" s="7"/>
    </row>
    <row r="276" spans="2:2" ht="15" x14ac:dyDescent="0.25">
      <c r="B276" s="7"/>
    </row>
    <row r="277" spans="2:2" ht="15" x14ac:dyDescent="0.25">
      <c r="B277" s="7"/>
    </row>
    <row r="278" spans="2:2" ht="15" x14ac:dyDescent="0.25">
      <c r="B278" s="7"/>
    </row>
    <row r="279" spans="2:2" ht="15" x14ac:dyDescent="0.25">
      <c r="B279" s="7"/>
    </row>
    <row r="280" spans="2:2" ht="15" x14ac:dyDescent="0.25">
      <c r="B280" s="7"/>
    </row>
    <row r="281" spans="2:2" ht="15" x14ac:dyDescent="0.25">
      <c r="B281" s="7"/>
    </row>
    <row r="282" spans="2:2" ht="15" x14ac:dyDescent="0.25">
      <c r="B282" s="7"/>
    </row>
    <row r="283" spans="2:2" ht="15" x14ac:dyDescent="0.25">
      <c r="B283" s="7"/>
    </row>
    <row r="284" spans="2:2" ht="15" x14ac:dyDescent="0.25">
      <c r="B284" s="7"/>
    </row>
    <row r="285" spans="2:2" ht="15" x14ac:dyDescent="0.25">
      <c r="B285" s="7"/>
    </row>
    <row r="286" spans="2:2" ht="15" x14ac:dyDescent="0.25">
      <c r="B286" s="7"/>
    </row>
    <row r="287" spans="2:2" ht="15" x14ac:dyDescent="0.25">
      <c r="B287" s="7"/>
    </row>
    <row r="288" spans="2:2" ht="15" x14ac:dyDescent="0.25">
      <c r="B288" s="7"/>
    </row>
    <row r="289" spans="2:2" ht="15" x14ac:dyDescent="0.25">
      <c r="B289" s="7"/>
    </row>
    <row r="290" spans="2:2" ht="15" x14ac:dyDescent="0.25">
      <c r="B290" s="7"/>
    </row>
    <row r="291" spans="2:2" ht="15" x14ac:dyDescent="0.25">
      <c r="B291" s="7"/>
    </row>
    <row r="292" spans="2:2" ht="15" x14ac:dyDescent="0.25">
      <c r="B292" s="7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2A8891-531F-43A4-B044-6C02F070C564}">
  <dimension ref="A1:I278"/>
  <sheetViews>
    <sheetView topLeftCell="A100" workbookViewId="0">
      <selection activeCell="B2" sqref="B2:B101"/>
    </sheetView>
  </sheetViews>
  <sheetFormatPr defaultRowHeight="14.25" x14ac:dyDescent="0.2"/>
  <cols>
    <col min="1" max="1" width="11.25" customWidth="1"/>
  </cols>
  <sheetData>
    <row r="1" spans="1:9" ht="15" x14ac:dyDescent="0.25">
      <c r="A1" s="1" t="s">
        <v>0</v>
      </c>
      <c r="B1" s="1" t="s">
        <v>49</v>
      </c>
      <c r="C1" s="1" t="s">
        <v>1</v>
      </c>
      <c r="D1" s="1" t="s">
        <v>2</v>
      </c>
    </row>
    <row r="2" spans="1:9" ht="15" x14ac:dyDescent="0.25">
      <c r="A2" s="7" t="s">
        <v>53</v>
      </c>
      <c r="B2" s="2">
        <v>427</v>
      </c>
      <c r="C2" s="2">
        <v>347</v>
      </c>
      <c r="D2" s="3">
        <f>IF(C2&lt;&gt;"",IF(B2&lt;&gt;"",C2-B2,"-"), "-")</f>
        <v>-80</v>
      </c>
      <c r="F2" t="s">
        <v>50</v>
      </c>
    </row>
    <row r="3" spans="1:9" ht="15" x14ac:dyDescent="0.25">
      <c r="A3" s="7" t="s">
        <v>55</v>
      </c>
      <c r="B3" s="2">
        <v>902</v>
      </c>
      <c r="C3" s="2"/>
      <c r="D3" s="3"/>
      <c r="F3" t="s">
        <v>56</v>
      </c>
    </row>
    <row r="4" spans="1:9" ht="15" x14ac:dyDescent="0.25">
      <c r="A4" s="7" t="s">
        <v>52</v>
      </c>
      <c r="B4" s="7">
        <v>1062</v>
      </c>
      <c r="C4" s="7">
        <v>1973</v>
      </c>
      <c r="D4" s="3">
        <f>IF(C4&lt;&gt;"",IF(B4&lt;&gt;"",C4-B4,"-"), "-")</f>
        <v>911</v>
      </c>
      <c r="F4" t="s">
        <v>51</v>
      </c>
    </row>
    <row r="5" spans="1:9" ht="15" x14ac:dyDescent="0.25">
      <c r="A5" s="7" t="s">
        <v>54</v>
      </c>
      <c r="B5" s="7">
        <v>1408</v>
      </c>
      <c r="C5" s="7">
        <v>3042</v>
      </c>
      <c r="D5" s="3">
        <f t="shared" ref="D5:D68" si="0">IF(C5&lt;&gt;"",IF(B5&lt;&gt;"",C5-B5,"-"), "-")</f>
        <v>1634</v>
      </c>
      <c r="G5" t="s">
        <v>61</v>
      </c>
    </row>
    <row r="6" spans="1:9" ht="15" x14ac:dyDescent="0.25">
      <c r="A6" s="7" t="s">
        <v>63</v>
      </c>
      <c r="B6" s="7">
        <v>2336</v>
      </c>
      <c r="C6" s="7">
        <v>5594</v>
      </c>
      <c r="D6" s="3">
        <f t="shared" si="0"/>
        <v>3258</v>
      </c>
      <c r="G6" t="s">
        <v>57</v>
      </c>
      <c r="H6" t="s">
        <v>58</v>
      </c>
      <c r="I6" t="s">
        <v>60</v>
      </c>
    </row>
    <row r="7" spans="1:9" ht="15" x14ac:dyDescent="0.25">
      <c r="A7" s="7" t="s">
        <v>64</v>
      </c>
      <c r="B7" s="7">
        <v>2679</v>
      </c>
      <c r="C7" s="7">
        <v>6660</v>
      </c>
      <c r="D7" s="3">
        <f t="shared" si="0"/>
        <v>3981</v>
      </c>
      <c r="G7">
        <v>883</v>
      </c>
    </row>
    <row r="8" spans="1:9" ht="15" x14ac:dyDescent="0.25">
      <c r="A8" s="7" t="s">
        <v>65</v>
      </c>
      <c r="B8" s="7">
        <v>3469</v>
      </c>
      <c r="C8" s="7">
        <v>9208</v>
      </c>
      <c r="D8" s="3">
        <f t="shared" si="0"/>
        <v>5739</v>
      </c>
      <c r="G8">
        <v>888</v>
      </c>
      <c r="H8">
        <v>1</v>
      </c>
      <c r="I8" t="s">
        <v>62</v>
      </c>
    </row>
    <row r="9" spans="1:9" ht="15" x14ac:dyDescent="0.25">
      <c r="A9" s="7" t="s">
        <v>66</v>
      </c>
      <c r="B9" s="7">
        <v>3814</v>
      </c>
      <c r="C9" s="7">
        <v>10274</v>
      </c>
      <c r="D9" s="3">
        <f t="shared" si="0"/>
        <v>6460</v>
      </c>
    </row>
    <row r="10" spans="1:9" ht="15" x14ac:dyDescent="0.25">
      <c r="A10" s="7" t="s">
        <v>67</v>
      </c>
      <c r="B10" s="7">
        <v>4647</v>
      </c>
      <c r="C10" s="7">
        <v>12668</v>
      </c>
      <c r="D10" s="3">
        <f t="shared" si="0"/>
        <v>8021</v>
      </c>
    </row>
    <row r="11" spans="1:9" ht="15" x14ac:dyDescent="0.25">
      <c r="A11" s="7" t="s">
        <v>68</v>
      </c>
      <c r="B11" s="7">
        <v>4991</v>
      </c>
      <c r="C11" s="7">
        <v>13734</v>
      </c>
      <c r="D11" s="3">
        <f t="shared" si="0"/>
        <v>8743</v>
      </c>
    </row>
    <row r="12" spans="1:9" ht="15" x14ac:dyDescent="0.25">
      <c r="A12" s="7" t="s">
        <v>69</v>
      </c>
      <c r="B12" s="7">
        <v>5667</v>
      </c>
      <c r="C12" s="7">
        <v>15458</v>
      </c>
      <c r="D12" s="3">
        <f t="shared" si="0"/>
        <v>9791</v>
      </c>
    </row>
    <row r="13" spans="1:9" ht="15" x14ac:dyDescent="0.25">
      <c r="A13" s="7" t="s">
        <v>70</v>
      </c>
      <c r="B13" s="7">
        <v>6010</v>
      </c>
      <c r="C13" s="7">
        <v>16526</v>
      </c>
      <c r="D13" s="3">
        <f t="shared" si="0"/>
        <v>10516</v>
      </c>
      <c r="G13">
        <v>902</v>
      </c>
      <c r="H13">
        <v>3</v>
      </c>
      <c r="I13" t="s">
        <v>59</v>
      </c>
    </row>
    <row r="14" spans="1:9" ht="15" x14ac:dyDescent="0.25">
      <c r="A14" s="7" t="s">
        <v>71</v>
      </c>
      <c r="B14" s="7">
        <v>7418</v>
      </c>
      <c r="C14" s="7">
        <v>20220</v>
      </c>
      <c r="D14" s="3">
        <f t="shared" si="0"/>
        <v>12802</v>
      </c>
    </row>
    <row r="15" spans="1:9" ht="15" x14ac:dyDescent="0.25">
      <c r="A15" s="7" t="s">
        <v>72</v>
      </c>
      <c r="B15" s="7">
        <v>7761</v>
      </c>
      <c r="C15" s="7">
        <v>21286</v>
      </c>
      <c r="D15" s="3">
        <f t="shared" si="0"/>
        <v>13525</v>
      </c>
    </row>
    <row r="16" spans="1:9" ht="15" x14ac:dyDescent="0.25">
      <c r="A16" s="7" t="s">
        <v>73</v>
      </c>
      <c r="B16" s="7">
        <v>8558</v>
      </c>
      <c r="C16" s="7">
        <v>23845</v>
      </c>
      <c r="D16" s="3">
        <f t="shared" si="0"/>
        <v>15287</v>
      </c>
    </row>
    <row r="17" spans="1:4" ht="15" x14ac:dyDescent="0.25">
      <c r="A17" s="7" t="s">
        <v>74</v>
      </c>
      <c r="B17" s="7">
        <v>8902</v>
      </c>
      <c r="C17" s="7">
        <v>24912</v>
      </c>
      <c r="D17" s="3">
        <f t="shared" si="0"/>
        <v>16010</v>
      </c>
    </row>
    <row r="18" spans="1:4" ht="15" x14ac:dyDescent="0.25">
      <c r="A18" s="7" t="s">
        <v>75</v>
      </c>
      <c r="B18" s="7">
        <v>9676</v>
      </c>
      <c r="C18" s="7">
        <v>27369</v>
      </c>
      <c r="D18" s="3">
        <f t="shared" si="0"/>
        <v>17693</v>
      </c>
    </row>
    <row r="19" spans="1:4" ht="15" x14ac:dyDescent="0.25">
      <c r="A19" s="7" t="s">
        <v>76</v>
      </c>
      <c r="B19" s="7">
        <v>10028</v>
      </c>
      <c r="C19" s="7">
        <v>28435</v>
      </c>
      <c r="D19" s="3">
        <f t="shared" si="0"/>
        <v>18407</v>
      </c>
    </row>
    <row r="20" spans="1:4" ht="15" x14ac:dyDescent="0.25">
      <c r="A20" s="7" t="s">
        <v>77</v>
      </c>
      <c r="B20" s="7">
        <v>11437</v>
      </c>
      <c r="C20" s="7">
        <v>32334</v>
      </c>
      <c r="D20" s="3">
        <f t="shared" si="0"/>
        <v>20897</v>
      </c>
    </row>
    <row r="21" spans="1:4" ht="15" x14ac:dyDescent="0.25">
      <c r="A21" s="7" t="s">
        <v>78</v>
      </c>
      <c r="B21" s="7">
        <v>11780</v>
      </c>
      <c r="C21" s="7">
        <v>33403</v>
      </c>
      <c r="D21" s="3">
        <f t="shared" si="0"/>
        <v>21623</v>
      </c>
    </row>
    <row r="22" spans="1:4" ht="15" x14ac:dyDescent="0.25">
      <c r="A22" s="7" t="s">
        <v>79</v>
      </c>
      <c r="B22" s="7">
        <v>12700</v>
      </c>
      <c r="C22" s="7">
        <v>35643</v>
      </c>
      <c r="D22" s="3">
        <f t="shared" si="0"/>
        <v>22943</v>
      </c>
    </row>
    <row r="23" spans="1:4" ht="15" x14ac:dyDescent="0.25">
      <c r="A23" s="7" t="s">
        <v>80</v>
      </c>
      <c r="B23" s="7">
        <v>13043</v>
      </c>
      <c r="C23" s="7">
        <v>36710</v>
      </c>
      <c r="D23" s="3">
        <f t="shared" si="0"/>
        <v>23667</v>
      </c>
    </row>
    <row r="24" spans="1:4" ht="15" x14ac:dyDescent="0.25">
      <c r="A24" s="7" t="s">
        <v>81</v>
      </c>
      <c r="B24" s="7">
        <v>14041</v>
      </c>
      <c r="C24" s="7">
        <v>39416</v>
      </c>
      <c r="D24" s="3">
        <f t="shared" si="0"/>
        <v>25375</v>
      </c>
    </row>
    <row r="25" spans="1:4" ht="15" x14ac:dyDescent="0.25">
      <c r="A25" s="7" t="s">
        <v>82</v>
      </c>
      <c r="B25" s="7">
        <v>15026</v>
      </c>
      <c r="C25" s="7">
        <v>41934</v>
      </c>
      <c r="D25" s="3">
        <f t="shared" si="0"/>
        <v>26908</v>
      </c>
    </row>
    <row r="26" spans="1:4" ht="15" x14ac:dyDescent="0.25">
      <c r="A26" s="7" t="s">
        <v>83</v>
      </c>
      <c r="B26" s="7">
        <v>15369</v>
      </c>
      <c r="C26" s="7">
        <v>43001</v>
      </c>
      <c r="D26" s="3">
        <f t="shared" si="0"/>
        <v>27632</v>
      </c>
    </row>
    <row r="27" spans="1:4" ht="15" x14ac:dyDescent="0.25">
      <c r="A27" s="7" t="s">
        <v>84</v>
      </c>
      <c r="B27" s="7">
        <v>16257</v>
      </c>
      <c r="C27" s="7">
        <v>45855</v>
      </c>
      <c r="D27" s="3">
        <f t="shared" si="0"/>
        <v>29598</v>
      </c>
    </row>
    <row r="28" spans="1:4" ht="15" x14ac:dyDescent="0.25">
      <c r="A28" s="7" t="s">
        <v>85</v>
      </c>
      <c r="B28" s="7">
        <v>16601</v>
      </c>
      <c r="C28" s="7">
        <v>46921</v>
      </c>
      <c r="D28" s="3">
        <f t="shared" si="0"/>
        <v>30320</v>
      </c>
    </row>
    <row r="29" spans="1:4" ht="15" x14ac:dyDescent="0.25">
      <c r="A29" s="7" t="s">
        <v>86</v>
      </c>
      <c r="B29" s="7">
        <v>17482</v>
      </c>
      <c r="C29" s="7">
        <v>50630</v>
      </c>
      <c r="D29" s="3">
        <f t="shared" si="0"/>
        <v>33148</v>
      </c>
    </row>
    <row r="30" spans="1:4" ht="15" x14ac:dyDescent="0.25">
      <c r="A30" s="7" t="s">
        <v>87</v>
      </c>
      <c r="B30" s="7">
        <v>17826</v>
      </c>
      <c r="C30" s="7">
        <v>51696</v>
      </c>
      <c r="D30" s="3">
        <f t="shared" si="0"/>
        <v>33870</v>
      </c>
    </row>
    <row r="31" spans="1:4" ht="15" x14ac:dyDescent="0.25">
      <c r="A31" s="7" t="s">
        <v>88</v>
      </c>
      <c r="B31" s="7">
        <v>18918</v>
      </c>
      <c r="C31" s="7">
        <v>55302</v>
      </c>
      <c r="D31" s="3">
        <f t="shared" si="0"/>
        <v>36384</v>
      </c>
    </row>
    <row r="32" spans="1:4" ht="15" x14ac:dyDescent="0.25">
      <c r="A32" s="7" t="s">
        <v>89</v>
      </c>
      <c r="B32" s="7">
        <v>19261</v>
      </c>
      <c r="C32" s="7">
        <v>56368</v>
      </c>
      <c r="D32" s="3">
        <f t="shared" si="0"/>
        <v>37107</v>
      </c>
    </row>
    <row r="33" spans="1:4" ht="15" x14ac:dyDescent="0.25">
      <c r="A33" s="7" t="s">
        <v>90</v>
      </c>
      <c r="B33" s="7">
        <v>19995</v>
      </c>
      <c r="C33" s="7">
        <v>58398</v>
      </c>
      <c r="D33" s="3">
        <f t="shared" si="0"/>
        <v>38403</v>
      </c>
    </row>
    <row r="34" spans="1:4" ht="15" x14ac:dyDescent="0.25">
      <c r="A34" s="7" t="s">
        <v>91</v>
      </c>
      <c r="B34" s="7">
        <v>20338</v>
      </c>
      <c r="C34" s="7">
        <v>59464</v>
      </c>
      <c r="D34" s="3">
        <f t="shared" si="0"/>
        <v>39126</v>
      </c>
    </row>
    <row r="35" spans="1:4" ht="15" x14ac:dyDescent="0.25">
      <c r="A35" s="7" t="s">
        <v>92</v>
      </c>
      <c r="B35" s="7">
        <v>21653</v>
      </c>
      <c r="C35" s="7">
        <v>63242</v>
      </c>
      <c r="D35" s="3">
        <f t="shared" si="0"/>
        <v>41589</v>
      </c>
    </row>
    <row r="36" spans="1:4" ht="15" x14ac:dyDescent="0.25">
      <c r="A36" s="7" t="s">
        <v>93</v>
      </c>
      <c r="B36" s="7">
        <v>21996</v>
      </c>
      <c r="C36" s="7">
        <v>64308</v>
      </c>
      <c r="D36" s="3">
        <f t="shared" si="0"/>
        <v>42312</v>
      </c>
    </row>
    <row r="37" spans="1:4" ht="15" x14ac:dyDescent="0.25">
      <c r="A37" s="7" t="s">
        <v>94</v>
      </c>
      <c r="B37" s="7">
        <v>23337</v>
      </c>
      <c r="C37" s="7">
        <v>68785</v>
      </c>
      <c r="D37" s="3">
        <f t="shared" si="0"/>
        <v>45448</v>
      </c>
    </row>
    <row r="38" spans="1:4" ht="15" x14ac:dyDescent="0.25">
      <c r="A38" s="7" t="s">
        <v>95</v>
      </c>
      <c r="B38" s="7">
        <v>23681</v>
      </c>
      <c r="C38" s="7">
        <v>69851</v>
      </c>
      <c r="D38" s="3">
        <f t="shared" si="0"/>
        <v>46170</v>
      </c>
    </row>
    <row r="39" spans="1:4" ht="15" x14ac:dyDescent="0.25">
      <c r="A39" s="7" t="s">
        <v>96</v>
      </c>
      <c r="B39" s="7">
        <v>24335</v>
      </c>
      <c r="C39" s="7">
        <v>71616</v>
      </c>
      <c r="D39" s="3">
        <f t="shared" si="0"/>
        <v>47281</v>
      </c>
    </row>
    <row r="40" spans="1:4" ht="15" x14ac:dyDescent="0.25">
      <c r="A40" s="7" t="s">
        <v>97</v>
      </c>
      <c r="B40" s="7">
        <v>24677</v>
      </c>
      <c r="C40" s="7">
        <v>72682</v>
      </c>
      <c r="D40" s="3">
        <f t="shared" si="0"/>
        <v>48005</v>
      </c>
    </row>
    <row r="41" spans="1:4" ht="15" x14ac:dyDescent="0.25">
      <c r="A41" s="7" t="s">
        <v>98</v>
      </c>
      <c r="B41" s="7">
        <v>25622</v>
      </c>
      <c r="C41" s="7">
        <v>76247</v>
      </c>
      <c r="D41" s="3">
        <f t="shared" si="0"/>
        <v>50625</v>
      </c>
    </row>
    <row r="42" spans="1:4" ht="15" x14ac:dyDescent="0.25">
      <c r="A42" s="7" t="s">
        <v>99</v>
      </c>
      <c r="B42" s="7">
        <v>25966</v>
      </c>
      <c r="C42" s="7">
        <v>77314</v>
      </c>
      <c r="D42" s="3">
        <f t="shared" si="0"/>
        <v>51348</v>
      </c>
    </row>
    <row r="43" spans="1:4" ht="15" x14ac:dyDescent="0.25">
      <c r="A43" s="7" t="s">
        <v>100</v>
      </c>
      <c r="B43" s="7">
        <v>27212</v>
      </c>
      <c r="C43" s="7">
        <v>81264</v>
      </c>
      <c r="D43" s="3">
        <f t="shared" si="0"/>
        <v>54052</v>
      </c>
    </row>
    <row r="44" spans="1:4" ht="15" x14ac:dyDescent="0.25">
      <c r="A44" s="7" t="s">
        <v>101</v>
      </c>
      <c r="B44" s="7">
        <v>27564</v>
      </c>
      <c r="C44" s="7">
        <v>82330</v>
      </c>
      <c r="D44" s="3">
        <f t="shared" si="0"/>
        <v>54766</v>
      </c>
    </row>
    <row r="45" spans="1:4" ht="15" x14ac:dyDescent="0.25">
      <c r="A45" s="7" t="s">
        <v>102</v>
      </c>
      <c r="B45" s="7">
        <v>28524</v>
      </c>
      <c r="C45" s="7">
        <v>85561</v>
      </c>
      <c r="D45" s="3">
        <f t="shared" si="0"/>
        <v>57037</v>
      </c>
    </row>
    <row r="46" spans="1:4" ht="15" x14ac:dyDescent="0.25">
      <c r="A46" s="7" t="s">
        <v>103</v>
      </c>
      <c r="B46" s="7">
        <v>28858</v>
      </c>
      <c r="C46" s="7">
        <v>86638</v>
      </c>
      <c r="D46" s="3">
        <f t="shared" si="0"/>
        <v>57780</v>
      </c>
    </row>
    <row r="47" spans="1:4" ht="15" x14ac:dyDescent="0.25">
      <c r="A47" s="7" t="s">
        <v>104</v>
      </c>
      <c r="B47" s="7">
        <v>30371</v>
      </c>
      <c r="C47" s="7">
        <v>91585</v>
      </c>
      <c r="D47" s="3">
        <f t="shared" si="0"/>
        <v>61214</v>
      </c>
    </row>
    <row r="48" spans="1:4" ht="15" x14ac:dyDescent="0.25">
      <c r="A48" s="7" t="s">
        <v>105</v>
      </c>
      <c r="B48" s="7">
        <v>30715</v>
      </c>
      <c r="C48" s="7">
        <v>92653</v>
      </c>
      <c r="D48" s="3">
        <f t="shared" si="0"/>
        <v>61938</v>
      </c>
    </row>
    <row r="49" spans="1:4" ht="15" x14ac:dyDescent="0.25">
      <c r="A49" s="7" t="s">
        <v>106</v>
      </c>
      <c r="B49" s="7">
        <v>31295</v>
      </c>
      <c r="C49" s="7">
        <v>94453</v>
      </c>
      <c r="D49" s="3">
        <f t="shared" si="0"/>
        <v>63158</v>
      </c>
    </row>
    <row r="50" spans="1:4" ht="15" x14ac:dyDescent="0.25">
      <c r="A50" s="7" t="s">
        <v>107</v>
      </c>
      <c r="B50" s="7">
        <v>31638</v>
      </c>
      <c r="C50" s="7">
        <v>95520</v>
      </c>
      <c r="D50" s="3">
        <f t="shared" si="0"/>
        <v>63882</v>
      </c>
    </row>
    <row r="51" spans="1:4" ht="15" x14ac:dyDescent="0.25">
      <c r="A51" s="7" t="s">
        <v>108</v>
      </c>
      <c r="B51" s="7">
        <v>32598</v>
      </c>
      <c r="C51" s="7">
        <v>98559</v>
      </c>
      <c r="D51" s="3">
        <f t="shared" si="0"/>
        <v>65961</v>
      </c>
    </row>
    <row r="52" spans="1:4" ht="15" x14ac:dyDescent="0.25">
      <c r="A52" s="7" t="s">
        <v>109</v>
      </c>
      <c r="B52" s="7">
        <v>32943</v>
      </c>
      <c r="C52" s="7">
        <v>99625</v>
      </c>
      <c r="D52" s="3">
        <f t="shared" si="0"/>
        <v>66682</v>
      </c>
    </row>
    <row r="53" spans="1:4" ht="15" x14ac:dyDescent="0.25">
      <c r="A53" s="7" t="s">
        <v>110</v>
      </c>
      <c r="B53" s="7">
        <v>34210</v>
      </c>
      <c r="C53" s="7">
        <v>103385</v>
      </c>
      <c r="D53" s="3">
        <f t="shared" si="0"/>
        <v>69175</v>
      </c>
    </row>
    <row r="54" spans="1:4" ht="15" x14ac:dyDescent="0.25">
      <c r="A54" s="7" t="s">
        <v>111</v>
      </c>
      <c r="B54" s="7">
        <v>34554</v>
      </c>
      <c r="C54" s="7">
        <v>104452</v>
      </c>
      <c r="D54" s="3">
        <f t="shared" si="0"/>
        <v>69898</v>
      </c>
    </row>
    <row r="55" spans="1:4" ht="15" x14ac:dyDescent="0.25">
      <c r="A55" s="7" t="s">
        <v>112</v>
      </c>
      <c r="B55" s="7">
        <v>36007</v>
      </c>
      <c r="C55" s="7">
        <v>109774</v>
      </c>
      <c r="D55" s="3">
        <f t="shared" si="0"/>
        <v>73767</v>
      </c>
    </row>
    <row r="56" spans="1:4" ht="15" x14ac:dyDescent="0.25">
      <c r="A56" s="7" t="s">
        <v>113</v>
      </c>
      <c r="B56" s="7">
        <v>36350</v>
      </c>
      <c r="C56" s="7">
        <v>110117</v>
      </c>
      <c r="D56" s="3">
        <f t="shared" si="0"/>
        <v>73767</v>
      </c>
    </row>
    <row r="57" spans="1:4" ht="15" x14ac:dyDescent="0.25">
      <c r="A57" s="7" t="s">
        <v>115</v>
      </c>
      <c r="B57" s="7">
        <v>37554</v>
      </c>
      <c r="C57" s="7">
        <v>113806</v>
      </c>
      <c r="D57" s="3">
        <f t="shared" si="0"/>
        <v>76252</v>
      </c>
    </row>
    <row r="58" spans="1:4" ht="15" x14ac:dyDescent="0.25">
      <c r="A58" s="7" t="s">
        <v>116</v>
      </c>
      <c r="B58" s="7">
        <v>37897</v>
      </c>
      <c r="C58" s="2">
        <v>114157</v>
      </c>
      <c r="D58" s="3">
        <f t="shared" si="0"/>
        <v>76260</v>
      </c>
    </row>
    <row r="59" spans="1:4" ht="15" x14ac:dyDescent="0.25">
      <c r="A59" s="7" t="s">
        <v>114</v>
      </c>
      <c r="B59" s="7">
        <v>39284</v>
      </c>
      <c r="C59" s="2">
        <v>117904</v>
      </c>
      <c r="D59" s="3">
        <f t="shared" si="0"/>
        <v>78620</v>
      </c>
    </row>
    <row r="60" spans="1:4" ht="15" x14ac:dyDescent="0.25">
      <c r="A60" s="7" t="s">
        <v>117</v>
      </c>
      <c r="B60" s="7">
        <v>39630</v>
      </c>
      <c r="C60" s="2">
        <v>118257</v>
      </c>
      <c r="D60" s="3">
        <f t="shared" si="0"/>
        <v>78627</v>
      </c>
    </row>
    <row r="61" spans="1:4" ht="15" x14ac:dyDescent="0.25">
      <c r="A61" s="7" t="s">
        <v>118</v>
      </c>
      <c r="B61" s="7">
        <v>40613</v>
      </c>
      <c r="C61" s="2">
        <v>121857</v>
      </c>
      <c r="D61" s="3">
        <f t="shared" si="0"/>
        <v>81244</v>
      </c>
    </row>
    <row r="62" spans="1:4" ht="15" x14ac:dyDescent="0.25">
      <c r="A62" s="7" t="s">
        <v>119</v>
      </c>
      <c r="B62" s="7">
        <v>40936</v>
      </c>
      <c r="C62" s="2">
        <v>122218</v>
      </c>
      <c r="D62" s="3">
        <f t="shared" si="0"/>
        <v>81282</v>
      </c>
    </row>
    <row r="63" spans="1:4" ht="15" x14ac:dyDescent="0.25">
      <c r="A63" s="7" t="s">
        <v>120</v>
      </c>
      <c r="B63" s="7">
        <v>41401</v>
      </c>
      <c r="C63" s="2">
        <v>123474</v>
      </c>
      <c r="D63" s="3">
        <f t="shared" si="0"/>
        <v>82073</v>
      </c>
    </row>
    <row r="64" spans="1:4" ht="15" x14ac:dyDescent="0.25">
      <c r="A64" s="7" t="s">
        <v>121</v>
      </c>
      <c r="B64" s="7">
        <v>41746</v>
      </c>
      <c r="C64" s="2">
        <v>123817</v>
      </c>
      <c r="D64" s="3">
        <f t="shared" si="0"/>
        <v>82071</v>
      </c>
    </row>
    <row r="65" spans="1:4" ht="15" x14ac:dyDescent="0.25">
      <c r="A65" s="7" t="s">
        <v>122</v>
      </c>
      <c r="B65" s="7">
        <v>42744</v>
      </c>
      <c r="C65" s="2">
        <v>127138</v>
      </c>
      <c r="D65" s="3">
        <f t="shared" si="0"/>
        <v>84394</v>
      </c>
    </row>
    <row r="66" spans="1:4" ht="15" x14ac:dyDescent="0.25">
      <c r="A66" s="7" t="s">
        <v>123</v>
      </c>
      <c r="B66" s="7">
        <v>43088</v>
      </c>
      <c r="C66" s="2">
        <v>127481</v>
      </c>
      <c r="D66" s="3">
        <f t="shared" si="0"/>
        <v>84393</v>
      </c>
    </row>
    <row r="67" spans="1:4" ht="15" x14ac:dyDescent="0.25">
      <c r="A67" s="7" t="s">
        <v>124</v>
      </c>
      <c r="B67" s="7">
        <v>44004</v>
      </c>
      <c r="C67" s="2">
        <v>130266</v>
      </c>
      <c r="D67" s="3">
        <f t="shared" si="0"/>
        <v>86262</v>
      </c>
    </row>
    <row r="68" spans="1:4" ht="15" x14ac:dyDescent="0.25">
      <c r="A68" s="5" t="s">
        <v>10</v>
      </c>
      <c r="B68" s="7">
        <v>44352</v>
      </c>
      <c r="C68" s="2">
        <v>130612</v>
      </c>
      <c r="D68" s="3">
        <f t="shared" si="0"/>
        <v>86260</v>
      </c>
    </row>
    <row r="69" spans="1:4" ht="15" x14ac:dyDescent="0.25">
      <c r="A69" s="5" t="s">
        <v>31</v>
      </c>
      <c r="B69" s="7">
        <v>45313</v>
      </c>
      <c r="C69" s="2">
        <v>134030</v>
      </c>
      <c r="D69" s="3">
        <f t="shared" ref="D69:D132" si="1">IF(C69&lt;&gt;"",IF(B69&lt;&gt;"",C69-B69,"-"), "-")</f>
        <v>88717</v>
      </c>
    </row>
    <row r="70" spans="1:4" ht="15" x14ac:dyDescent="0.25">
      <c r="A70" s="5" t="s">
        <v>11</v>
      </c>
      <c r="B70" s="7">
        <v>45657</v>
      </c>
      <c r="C70" s="2">
        <v>134376</v>
      </c>
      <c r="D70" s="3">
        <f t="shared" si="1"/>
        <v>88719</v>
      </c>
    </row>
    <row r="71" spans="1:4" ht="15" x14ac:dyDescent="0.25">
      <c r="A71" s="5" t="s">
        <v>30</v>
      </c>
      <c r="B71" s="7">
        <v>46614</v>
      </c>
      <c r="C71" s="2">
        <v>137722</v>
      </c>
      <c r="D71" s="3">
        <f t="shared" si="1"/>
        <v>91108</v>
      </c>
    </row>
    <row r="72" spans="1:4" ht="15" x14ac:dyDescent="0.25">
      <c r="A72" s="5" t="s">
        <v>12</v>
      </c>
      <c r="B72" s="7">
        <v>46958</v>
      </c>
      <c r="C72" s="2">
        <v>138065</v>
      </c>
      <c r="D72" s="3">
        <f t="shared" si="1"/>
        <v>91107</v>
      </c>
    </row>
    <row r="73" spans="1:4" ht="15" x14ac:dyDescent="0.25">
      <c r="A73" s="5" t="s">
        <v>32</v>
      </c>
      <c r="B73" s="7">
        <v>47930</v>
      </c>
      <c r="C73" s="2">
        <v>140702</v>
      </c>
      <c r="D73" s="3">
        <f t="shared" si="1"/>
        <v>92772</v>
      </c>
    </row>
    <row r="74" spans="1:4" ht="15" x14ac:dyDescent="0.25">
      <c r="A74" s="5" t="s">
        <v>13</v>
      </c>
      <c r="B74" s="7">
        <v>48273</v>
      </c>
      <c r="C74" s="2">
        <v>141046</v>
      </c>
      <c r="D74" s="3">
        <f t="shared" si="1"/>
        <v>92773</v>
      </c>
    </row>
    <row r="75" spans="1:4" ht="15" x14ac:dyDescent="0.25">
      <c r="A75" s="7" t="s">
        <v>47</v>
      </c>
      <c r="B75" s="7">
        <v>49356</v>
      </c>
      <c r="C75" s="2">
        <v>144332</v>
      </c>
      <c r="D75" s="3">
        <f t="shared" si="1"/>
        <v>94976</v>
      </c>
    </row>
    <row r="76" spans="1:4" ht="15" x14ac:dyDescent="0.25">
      <c r="A76" s="7" t="s">
        <v>48</v>
      </c>
      <c r="B76" s="7">
        <v>49699</v>
      </c>
      <c r="C76" s="2">
        <v>144676</v>
      </c>
      <c r="D76" s="3">
        <f t="shared" si="1"/>
        <v>94977</v>
      </c>
    </row>
    <row r="77" spans="1:4" ht="15" x14ac:dyDescent="0.25">
      <c r="A77" s="7" t="s">
        <v>33</v>
      </c>
      <c r="B77" s="7">
        <v>50839</v>
      </c>
      <c r="C77" s="2">
        <v>148440</v>
      </c>
      <c r="D77" s="3">
        <f t="shared" si="1"/>
        <v>97601</v>
      </c>
    </row>
    <row r="78" spans="1:4" ht="15" x14ac:dyDescent="0.25">
      <c r="A78" s="5" t="s">
        <v>14</v>
      </c>
      <c r="B78" s="7">
        <v>51182</v>
      </c>
      <c r="C78" s="2">
        <v>148783</v>
      </c>
      <c r="D78" s="3">
        <f t="shared" si="1"/>
        <v>97601</v>
      </c>
    </row>
    <row r="79" spans="1:4" ht="15" x14ac:dyDescent="0.25">
      <c r="A79" s="5" t="s">
        <v>34</v>
      </c>
      <c r="B79" s="7">
        <v>51882</v>
      </c>
      <c r="C79" s="2">
        <v>150650</v>
      </c>
      <c r="D79" s="3">
        <f t="shared" si="1"/>
        <v>98768</v>
      </c>
    </row>
    <row r="80" spans="1:4" ht="15" x14ac:dyDescent="0.25">
      <c r="A80" s="5" t="s">
        <v>15</v>
      </c>
      <c r="B80" s="7">
        <v>52225</v>
      </c>
      <c r="C80" s="2">
        <v>150993</v>
      </c>
      <c r="D80" s="3">
        <f t="shared" si="1"/>
        <v>98768</v>
      </c>
    </row>
    <row r="81" spans="1:4" ht="15" x14ac:dyDescent="0.25">
      <c r="A81" s="5" t="s">
        <v>35</v>
      </c>
      <c r="B81" s="7">
        <v>53516</v>
      </c>
      <c r="C81" s="2">
        <v>155366</v>
      </c>
      <c r="D81" s="3">
        <f t="shared" si="1"/>
        <v>101850</v>
      </c>
    </row>
    <row r="82" spans="1:4" ht="15" x14ac:dyDescent="0.25">
      <c r="A82" s="5" t="s">
        <v>16</v>
      </c>
      <c r="B82" s="7">
        <v>53860</v>
      </c>
      <c r="C82" s="2">
        <v>155709</v>
      </c>
      <c r="D82" s="3">
        <f t="shared" si="1"/>
        <v>101849</v>
      </c>
    </row>
    <row r="83" spans="1:4" ht="15" x14ac:dyDescent="0.25">
      <c r="A83" s="5" t="s">
        <v>36</v>
      </c>
      <c r="B83" s="7">
        <v>55029</v>
      </c>
      <c r="C83" s="7">
        <v>159691</v>
      </c>
      <c r="D83" s="3">
        <f t="shared" si="1"/>
        <v>104662</v>
      </c>
    </row>
    <row r="84" spans="1:4" ht="15" x14ac:dyDescent="0.25">
      <c r="A84" s="5" t="s">
        <v>17</v>
      </c>
      <c r="B84" s="7">
        <v>55373</v>
      </c>
      <c r="C84" s="2">
        <v>160034</v>
      </c>
      <c r="D84" s="3">
        <f t="shared" si="1"/>
        <v>104661</v>
      </c>
    </row>
    <row r="85" spans="1:4" ht="15" x14ac:dyDescent="0.25">
      <c r="A85" s="5" t="s">
        <v>37</v>
      </c>
      <c r="B85" s="7">
        <v>56774</v>
      </c>
      <c r="C85" s="2">
        <v>164319</v>
      </c>
      <c r="D85" s="3">
        <f t="shared" si="1"/>
        <v>107545</v>
      </c>
    </row>
    <row r="86" spans="1:4" ht="15" x14ac:dyDescent="0.25">
      <c r="A86" s="5" t="s">
        <v>18</v>
      </c>
      <c r="B86" s="7">
        <v>57118</v>
      </c>
      <c r="C86" s="2">
        <v>164662</v>
      </c>
      <c r="D86" s="3">
        <f t="shared" si="1"/>
        <v>107544</v>
      </c>
    </row>
    <row r="87" spans="1:4" ht="15" x14ac:dyDescent="0.25">
      <c r="A87" s="5" t="s">
        <v>38</v>
      </c>
      <c r="B87" s="7">
        <v>57747</v>
      </c>
      <c r="C87" s="2">
        <v>166649</v>
      </c>
      <c r="D87" s="3">
        <f t="shared" si="1"/>
        <v>108902</v>
      </c>
    </row>
    <row r="88" spans="1:4" ht="15" x14ac:dyDescent="0.25">
      <c r="A88" s="5" t="s">
        <v>19</v>
      </c>
      <c r="B88" s="7">
        <v>58090</v>
      </c>
      <c r="C88" s="2">
        <v>167000</v>
      </c>
      <c r="D88" s="3">
        <f t="shared" si="1"/>
        <v>108910</v>
      </c>
    </row>
    <row r="89" spans="1:4" ht="15" x14ac:dyDescent="0.25">
      <c r="A89" s="5" t="s">
        <v>39</v>
      </c>
      <c r="B89" s="7">
        <v>59219</v>
      </c>
      <c r="C89" s="2">
        <v>169447</v>
      </c>
      <c r="D89" s="3">
        <f t="shared" si="1"/>
        <v>110228</v>
      </c>
    </row>
    <row r="90" spans="1:4" ht="15" x14ac:dyDescent="0.25">
      <c r="A90" s="5" t="s">
        <v>20</v>
      </c>
      <c r="B90" s="7">
        <v>59562</v>
      </c>
      <c r="C90" s="2">
        <v>169791</v>
      </c>
      <c r="D90" s="3">
        <f t="shared" si="1"/>
        <v>110229</v>
      </c>
    </row>
    <row r="91" spans="1:4" ht="15" x14ac:dyDescent="0.25">
      <c r="A91" s="5" t="s">
        <v>40</v>
      </c>
      <c r="B91" s="7">
        <v>60447</v>
      </c>
      <c r="C91" s="2">
        <v>173339</v>
      </c>
      <c r="D91" s="3">
        <f t="shared" si="1"/>
        <v>112892</v>
      </c>
    </row>
    <row r="92" spans="1:4" ht="15" x14ac:dyDescent="0.25">
      <c r="A92" s="5" t="s">
        <v>21</v>
      </c>
      <c r="B92" s="7">
        <v>60833</v>
      </c>
      <c r="C92" s="2">
        <v>173683</v>
      </c>
      <c r="D92" s="3">
        <f t="shared" si="1"/>
        <v>112850</v>
      </c>
    </row>
    <row r="93" spans="1:4" ht="15" x14ac:dyDescent="0.25">
      <c r="A93" s="5" t="s">
        <v>41</v>
      </c>
      <c r="B93" s="7">
        <v>61723</v>
      </c>
      <c r="C93" s="2">
        <v>176533</v>
      </c>
      <c r="D93" s="3">
        <f t="shared" si="1"/>
        <v>114810</v>
      </c>
    </row>
    <row r="94" spans="1:4" ht="15" x14ac:dyDescent="0.25">
      <c r="A94" s="5" t="s">
        <v>22</v>
      </c>
      <c r="B94" s="7">
        <v>62069</v>
      </c>
      <c r="C94" s="2">
        <v>176876</v>
      </c>
      <c r="D94" s="3">
        <f t="shared" si="1"/>
        <v>114807</v>
      </c>
    </row>
    <row r="95" spans="1:4" ht="15" x14ac:dyDescent="0.25">
      <c r="A95" s="5" t="s">
        <v>42</v>
      </c>
      <c r="B95" s="7">
        <v>63206</v>
      </c>
      <c r="C95" s="2">
        <v>180458</v>
      </c>
      <c r="D95" s="3">
        <f t="shared" si="1"/>
        <v>117252</v>
      </c>
    </row>
    <row r="96" spans="1:4" ht="15" x14ac:dyDescent="0.25">
      <c r="A96" s="5" t="s">
        <v>23</v>
      </c>
      <c r="B96" s="7">
        <v>63549</v>
      </c>
      <c r="C96" s="2">
        <v>180802</v>
      </c>
      <c r="D96" s="3">
        <f t="shared" si="1"/>
        <v>117253</v>
      </c>
    </row>
    <row r="97" spans="1:4" ht="15" x14ac:dyDescent="0.25">
      <c r="A97" s="5" t="s">
        <v>43</v>
      </c>
      <c r="B97" s="7">
        <v>64475</v>
      </c>
      <c r="C97" s="2">
        <v>184073</v>
      </c>
      <c r="D97" s="3">
        <f t="shared" si="1"/>
        <v>119598</v>
      </c>
    </row>
    <row r="98" spans="1:4" ht="15" x14ac:dyDescent="0.25">
      <c r="A98" s="5" t="s">
        <v>24</v>
      </c>
      <c r="B98" s="7">
        <v>64818</v>
      </c>
      <c r="C98" s="2">
        <v>184417</v>
      </c>
      <c r="D98" s="3">
        <f t="shared" si="1"/>
        <v>119599</v>
      </c>
    </row>
    <row r="99" spans="1:4" ht="15" x14ac:dyDescent="0.25">
      <c r="A99" s="5" t="s">
        <v>44</v>
      </c>
      <c r="B99" s="7">
        <v>65880</v>
      </c>
      <c r="C99" s="2">
        <v>187660</v>
      </c>
      <c r="D99" s="3">
        <f t="shared" si="1"/>
        <v>121780</v>
      </c>
    </row>
    <row r="100" spans="1:4" ht="15" x14ac:dyDescent="0.25">
      <c r="A100" s="5" t="s">
        <v>25</v>
      </c>
      <c r="B100" s="7">
        <v>66223</v>
      </c>
      <c r="C100" s="2">
        <v>188004</v>
      </c>
      <c r="D100" s="3">
        <f t="shared" si="1"/>
        <v>121781</v>
      </c>
    </row>
    <row r="101" spans="1:4" ht="15" x14ac:dyDescent="0.25">
      <c r="A101" s="5" t="s">
        <v>26</v>
      </c>
      <c r="B101" s="7">
        <v>67116</v>
      </c>
      <c r="C101" s="2">
        <v>191201</v>
      </c>
      <c r="D101" s="3">
        <f t="shared" si="1"/>
        <v>124085</v>
      </c>
    </row>
    <row r="102" spans="1:4" ht="15" x14ac:dyDescent="0.25">
      <c r="A102" s="7"/>
      <c r="B102" s="7"/>
      <c r="C102" s="7"/>
      <c r="D102" s="3" t="str">
        <f t="shared" si="1"/>
        <v>-</v>
      </c>
    </row>
    <row r="103" spans="1:4" ht="15" x14ac:dyDescent="0.25">
      <c r="A103" s="7"/>
      <c r="B103" s="7"/>
      <c r="C103" s="7"/>
      <c r="D103" s="3" t="str">
        <f t="shared" si="1"/>
        <v>-</v>
      </c>
    </row>
    <row r="104" spans="1:4" ht="15" x14ac:dyDescent="0.25">
      <c r="A104" s="7"/>
      <c r="B104" s="7"/>
      <c r="C104" s="7"/>
      <c r="D104" s="3" t="str">
        <f t="shared" si="1"/>
        <v>-</v>
      </c>
    </row>
    <row r="105" spans="1:4" ht="15" x14ac:dyDescent="0.25">
      <c r="A105" s="7"/>
      <c r="B105" s="7"/>
      <c r="C105" s="7"/>
      <c r="D105" s="3" t="str">
        <f t="shared" si="1"/>
        <v>-</v>
      </c>
    </row>
    <row r="106" spans="1:4" ht="15" x14ac:dyDescent="0.25">
      <c r="A106" s="7"/>
      <c r="B106" s="7"/>
      <c r="C106" s="7"/>
      <c r="D106" s="3" t="str">
        <f t="shared" si="1"/>
        <v>-</v>
      </c>
    </row>
    <row r="107" spans="1:4" ht="15" x14ac:dyDescent="0.25">
      <c r="A107" s="7"/>
      <c r="B107" s="7"/>
      <c r="C107" s="7"/>
      <c r="D107" s="3" t="str">
        <f t="shared" si="1"/>
        <v>-</v>
      </c>
    </row>
    <row r="108" spans="1:4" ht="15" x14ac:dyDescent="0.25">
      <c r="A108" s="7"/>
      <c r="B108" s="7"/>
      <c r="C108" s="7"/>
      <c r="D108" s="3" t="str">
        <f t="shared" si="1"/>
        <v>-</v>
      </c>
    </row>
    <row r="109" spans="1:4" ht="15" x14ac:dyDescent="0.25">
      <c r="A109" s="7"/>
      <c r="B109" s="7"/>
      <c r="C109" s="7"/>
      <c r="D109" s="3" t="str">
        <f t="shared" si="1"/>
        <v>-</v>
      </c>
    </row>
    <row r="110" spans="1:4" ht="15" x14ac:dyDescent="0.25">
      <c r="A110" s="7"/>
      <c r="B110" s="7"/>
      <c r="C110" s="7"/>
      <c r="D110" s="3" t="str">
        <f t="shared" si="1"/>
        <v>-</v>
      </c>
    </row>
    <row r="111" spans="1:4" ht="15" x14ac:dyDescent="0.25">
      <c r="A111" s="7"/>
      <c r="B111" s="7"/>
      <c r="C111" s="7"/>
      <c r="D111" s="3" t="str">
        <f t="shared" si="1"/>
        <v>-</v>
      </c>
    </row>
    <row r="112" spans="1:4" ht="15" x14ac:dyDescent="0.25">
      <c r="A112" s="7"/>
      <c r="B112" s="7"/>
      <c r="C112" s="7"/>
      <c r="D112" s="3" t="str">
        <f t="shared" si="1"/>
        <v>-</v>
      </c>
    </row>
    <row r="113" spans="1:4" ht="15" x14ac:dyDescent="0.25">
      <c r="A113" s="7"/>
      <c r="B113" s="7"/>
      <c r="C113" s="7"/>
      <c r="D113" s="3" t="str">
        <f t="shared" si="1"/>
        <v>-</v>
      </c>
    </row>
    <row r="114" spans="1:4" ht="15" x14ac:dyDescent="0.25">
      <c r="A114" s="7"/>
      <c r="B114" s="7"/>
      <c r="C114" s="7"/>
      <c r="D114" s="3" t="str">
        <f t="shared" si="1"/>
        <v>-</v>
      </c>
    </row>
    <row r="115" spans="1:4" ht="15" x14ac:dyDescent="0.25">
      <c r="A115" s="7"/>
      <c r="B115" s="7"/>
      <c r="C115" s="7"/>
      <c r="D115" s="3" t="str">
        <f t="shared" si="1"/>
        <v>-</v>
      </c>
    </row>
    <row r="116" spans="1:4" ht="15" x14ac:dyDescent="0.25">
      <c r="A116" s="7"/>
      <c r="B116" s="7"/>
      <c r="C116" s="7"/>
      <c r="D116" s="3" t="str">
        <f t="shared" si="1"/>
        <v>-</v>
      </c>
    </row>
    <row r="117" spans="1:4" ht="15" x14ac:dyDescent="0.25">
      <c r="A117" s="7"/>
      <c r="B117" s="7"/>
      <c r="C117" s="7"/>
      <c r="D117" s="3" t="str">
        <f t="shared" si="1"/>
        <v>-</v>
      </c>
    </row>
    <row r="118" spans="1:4" ht="15" x14ac:dyDescent="0.25">
      <c r="A118" s="7"/>
      <c r="B118" s="7"/>
      <c r="C118" s="7"/>
      <c r="D118" s="3" t="str">
        <f t="shared" si="1"/>
        <v>-</v>
      </c>
    </row>
    <row r="119" spans="1:4" ht="15" x14ac:dyDescent="0.25">
      <c r="A119" s="7"/>
      <c r="B119" s="7"/>
      <c r="C119" s="7"/>
      <c r="D119" s="3" t="str">
        <f t="shared" si="1"/>
        <v>-</v>
      </c>
    </row>
    <row r="120" spans="1:4" ht="15" x14ac:dyDescent="0.25">
      <c r="A120" s="7"/>
      <c r="B120" s="7"/>
      <c r="C120" s="7"/>
      <c r="D120" s="3" t="str">
        <f t="shared" si="1"/>
        <v>-</v>
      </c>
    </row>
    <row r="121" spans="1:4" ht="15" x14ac:dyDescent="0.25">
      <c r="A121" s="7"/>
      <c r="B121" s="7"/>
      <c r="C121" s="7"/>
      <c r="D121" s="3" t="str">
        <f t="shared" si="1"/>
        <v>-</v>
      </c>
    </row>
    <row r="122" spans="1:4" ht="15" x14ac:dyDescent="0.25">
      <c r="A122" s="7"/>
      <c r="B122" s="7"/>
      <c r="C122" s="7"/>
      <c r="D122" s="3" t="str">
        <f t="shared" si="1"/>
        <v>-</v>
      </c>
    </row>
    <row r="123" spans="1:4" ht="15" x14ac:dyDescent="0.25">
      <c r="A123" s="7"/>
      <c r="B123" s="7"/>
      <c r="C123" s="7"/>
      <c r="D123" s="3" t="str">
        <f t="shared" si="1"/>
        <v>-</v>
      </c>
    </row>
    <row r="124" spans="1:4" ht="15" x14ac:dyDescent="0.25">
      <c r="A124" s="7"/>
      <c r="B124" s="7"/>
      <c r="C124" s="7"/>
      <c r="D124" s="3" t="str">
        <f t="shared" si="1"/>
        <v>-</v>
      </c>
    </row>
    <row r="125" spans="1:4" ht="15" x14ac:dyDescent="0.25">
      <c r="A125" s="7"/>
      <c r="B125" s="7"/>
      <c r="C125" s="7"/>
      <c r="D125" s="3" t="str">
        <f t="shared" si="1"/>
        <v>-</v>
      </c>
    </row>
    <row r="126" spans="1:4" ht="15" x14ac:dyDescent="0.25">
      <c r="A126" s="7"/>
      <c r="B126" s="7"/>
      <c r="C126" s="7"/>
      <c r="D126" s="3" t="str">
        <f t="shared" si="1"/>
        <v>-</v>
      </c>
    </row>
    <row r="127" spans="1:4" ht="15" x14ac:dyDescent="0.25">
      <c r="A127" s="7"/>
      <c r="B127" s="7"/>
      <c r="C127" s="7"/>
      <c r="D127" s="3" t="str">
        <f t="shared" si="1"/>
        <v>-</v>
      </c>
    </row>
    <row r="128" spans="1:4" ht="15" x14ac:dyDescent="0.25">
      <c r="A128" s="7"/>
      <c r="B128" s="7"/>
      <c r="C128" s="7"/>
      <c r="D128" s="3" t="str">
        <f t="shared" si="1"/>
        <v>-</v>
      </c>
    </row>
    <row r="129" spans="1:4" ht="15" x14ac:dyDescent="0.25">
      <c r="A129" s="7"/>
      <c r="B129" s="7"/>
      <c r="C129" s="7"/>
      <c r="D129" s="3" t="str">
        <f t="shared" si="1"/>
        <v>-</v>
      </c>
    </row>
    <row r="130" spans="1:4" ht="15" x14ac:dyDescent="0.25">
      <c r="A130" s="7"/>
      <c r="B130" s="7"/>
      <c r="C130" s="7"/>
      <c r="D130" s="3" t="str">
        <f t="shared" si="1"/>
        <v>-</v>
      </c>
    </row>
    <row r="131" spans="1:4" ht="15" x14ac:dyDescent="0.25">
      <c r="A131" s="7"/>
      <c r="B131" s="7"/>
      <c r="C131" s="7"/>
      <c r="D131" s="3" t="str">
        <f t="shared" si="1"/>
        <v>-</v>
      </c>
    </row>
    <row r="132" spans="1:4" ht="15" x14ac:dyDescent="0.25">
      <c r="A132" s="7"/>
      <c r="B132" s="7"/>
      <c r="C132" s="7"/>
      <c r="D132" s="3" t="str">
        <f t="shared" si="1"/>
        <v>-</v>
      </c>
    </row>
    <row r="133" spans="1:4" ht="15" x14ac:dyDescent="0.25">
      <c r="A133" s="7"/>
      <c r="B133" s="7"/>
      <c r="C133" s="7"/>
      <c r="D133" s="3" t="str">
        <f t="shared" ref="D133:D137" si="2">IF(C133&lt;&gt;"",IF(B133&lt;&gt;"",C133-B133,"-"), "-")</f>
        <v>-</v>
      </c>
    </row>
    <row r="134" spans="1:4" ht="15" x14ac:dyDescent="0.25">
      <c r="A134" s="7"/>
      <c r="B134" s="7"/>
      <c r="C134" s="7"/>
      <c r="D134" s="3" t="str">
        <f t="shared" si="2"/>
        <v>-</v>
      </c>
    </row>
    <row r="135" spans="1:4" ht="15" x14ac:dyDescent="0.25">
      <c r="A135" s="7"/>
      <c r="B135" s="7"/>
      <c r="C135" s="7"/>
      <c r="D135" s="3" t="str">
        <f t="shared" si="2"/>
        <v>-</v>
      </c>
    </row>
    <row r="136" spans="1:4" ht="15" x14ac:dyDescent="0.25">
      <c r="A136" s="7"/>
      <c r="B136" s="7"/>
      <c r="D136" s="3" t="str">
        <f t="shared" si="2"/>
        <v>-</v>
      </c>
    </row>
    <row r="137" spans="1:4" ht="15" x14ac:dyDescent="0.25">
      <c r="A137" s="7"/>
      <c r="B137" s="7"/>
      <c r="D137" s="3" t="str">
        <f t="shared" si="2"/>
        <v>-</v>
      </c>
    </row>
    <row r="138" spans="1:4" ht="15" x14ac:dyDescent="0.25">
      <c r="A138" s="7"/>
      <c r="B138" s="7"/>
      <c r="D138" s="3" t="str">
        <f t="shared" ref="D138:D139" si="3">IF(C138&lt;&gt;"",IF(B138&lt;&gt;"",B138-C138,"-"), "-")</f>
        <v>-</v>
      </c>
    </row>
    <row r="139" spans="1:4" ht="15" x14ac:dyDescent="0.25">
      <c r="A139" s="7"/>
      <c r="B139" s="7"/>
      <c r="D139" s="3" t="str">
        <f t="shared" si="3"/>
        <v>-</v>
      </c>
    </row>
    <row r="140" spans="1:4" ht="15" x14ac:dyDescent="0.25">
      <c r="A140" s="7"/>
      <c r="B140" s="7"/>
    </row>
    <row r="141" spans="1:4" ht="15" x14ac:dyDescent="0.25">
      <c r="A141" s="7"/>
      <c r="B141" s="7"/>
    </row>
    <row r="142" spans="1:4" ht="15" x14ac:dyDescent="0.25">
      <c r="B142" s="7"/>
    </row>
    <row r="143" spans="1:4" ht="15" x14ac:dyDescent="0.25">
      <c r="B143" s="7"/>
    </row>
    <row r="144" spans="1:4" ht="15" x14ac:dyDescent="0.25">
      <c r="B144" s="7"/>
    </row>
    <row r="145" spans="2:2" ht="15" x14ac:dyDescent="0.25">
      <c r="B145" s="7"/>
    </row>
    <row r="146" spans="2:2" ht="15" x14ac:dyDescent="0.25">
      <c r="B146" s="7"/>
    </row>
    <row r="147" spans="2:2" ht="15" x14ac:dyDescent="0.25">
      <c r="B147" s="7"/>
    </row>
    <row r="148" spans="2:2" ht="15" x14ac:dyDescent="0.25">
      <c r="B148" s="7"/>
    </row>
    <row r="149" spans="2:2" ht="15" x14ac:dyDescent="0.25">
      <c r="B149" s="7"/>
    </row>
    <row r="150" spans="2:2" ht="15" x14ac:dyDescent="0.25">
      <c r="B150" s="7"/>
    </row>
    <row r="151" spans="2:2" ht="15" x14ac:dyDescent="0.25">
      <c r="B151" s="7"/>
    </row>
    <row r="152" spans="2:2" ht="15" x14ac:dyDescent="0.25">
      <c r="B152" s="7"/>
    </row>
    <row r="153" spans="2:2" ht="15" x14ac:dyDescent="0.25">
      <c r="B153" s="7"/>
    </row>
    <row r="154" spans="2:2" ht="15" x14ac:dyDescent="0.25">
      <c r="B154" s="7"/>
    </row>
    <row r="155" spans="2:2" ht="15" x14ac:dyDescent="0.25">
      <c r="B155" s="7"/>
    </row>
    <row r="156" spans="2:2" ht="15" x14ac:dyDescent="0.25">
      <c r="B156" s="7"/>
    </row>
    <row r="157" spans="2:2" ht="15" x14ac:dyDescent="0.25">
      <c r="B157" s="7"/>
    </row>
    <row r="158" spans="2:2" ht="15" x14ac:dyDescent="0.25">
      <c r="B158" s="7"/>
    </row>
    <row r="159" spans="2:2" ht="15" x14ac:dyDescent="0.25">
      <c r="B159" s="7"/>
    </row>
    <row r="160" spans="2:2" ht="15" x14ac:dyDescent="0.25">
      <c r="B160" s="7"/>
    </row>
    <row r="161" spans="2:2" ht="15" x14ac:dyDescent="0.25">
      <c r="B161" s="7"/>
    </row>
    <row r="162" spans="2:2" ht="15" x14ac:dyDescent="0.25">
      <c r="B162" s="7"/>
    </row>
    <row r="163" spans="2:2" ht="15" x14ac:dyDescent="0.25">
      <c r="B163" s="7"/>
    </row>
    <row r="164" spans="2:2" ht="15" x14ac:dyDescent="0.25">
      <c r="B164" s="7"/>
    </row>
    <row r="165" spans="2:2" ht="15" x14ac:dyDescent="0.25">
      <c r="B165" s="7"/>
    </row>
    <row r="166" spans="2:2" ht="15" x14ac:dyDescent="0.25">
      <c r="B166" s="7"/>
    </row>
    <row r="167" spans="2:2" ht="15" x14ac:dyDescent="0.25">
      <c r="B167" s="7"/>
    </row>
    <row r="168" spans="2:2" ht="15" x14ac:dyDescent="0.25">
      <c r="B168" s="7"/>
    </row>
    <row r="169" spans="2:2" ht="15" x14ac:dyDescent="0.25">
      <c r="B169" s="7"/>
    </row>
    <row r="170" spans="2:2" ht="15" x14ac:dyDescent="0.25">
      <c r="B170" s="7"/>
    </row>
    <row r="171" spans="2:2" ht="15" x14ac:dyDescent="0.25">
      <c r="B171" s="7"/>
    </row>
    <row r="172" spans="2:2" ht="15" x14ac:dyDescent="0.25">
      <c r="B172" s="7"/>
    </row>
    <row r="173" spans="2:2" ht="15" x14ac:dyDescent="0.25">
      <c r="B173" s="7"/>
    </row>
    <row r="174" spans="2:2" ht="15" x14ac:dyDescent="0.25">
      <c r="B174" s="7"/>
    </row>
    <row r="175" spans="2:2" ht="15" x14ac:dyDescent="0.25">
      <c r="B175" s="7"/>
    </row>
    <row r="176" spans="2:2" ht="15" x14ac:dyDescent="0.25">
      <c r="B176" s="7"/>
    </row>
    <row r="177" spans="2:2" ht="15" x14ac:dyDescent="0.25">
      <c r="B177" s="7"/>
    </row>
    <row r="178" spans="2:2" ht="15" x14ac:dyDescent="0.25">
      <c r="B178" s="7"/>
    </row>
    <row r="179" spans="2:2" ht="15" x14ac:dyDescent="0.25">
      <c r="B179" s="7"/>
    </row>
    <row r="180" spans="2:2" ht="15" x14ac:dyDescent="0.25">
      <c r="B180" s="7"/>
    </row>
    <row r="181" spans="2:2" ht="15" x14ac:dyDescent="0.25">
      <c r="B181" s="7"/>
    </row>
    <row r="182" spans="2:2" ht="15" x14ac:dyDescent="0.25">
      <c r="B182" s="7"/>
    </row>
    <row r="183" spans="2:2" ht="15" x14ac:dyDescent="0.25">
      <c r="B183" s="7"/>
    </row>
    <row r="184" spans="2:2" ht="15" x14ac:dyDescent="0.25">
      <c r="B184" s="7"/>
    </row>
    <row r="185" spans="2:2" ht="15" x14ac:dyDescent="0.25">
      <c r="B185" s="7"/>
    </row>
    <row r="186" spans="2:2" ht="15" x14ac:dyDescent="0.25">
      <c r="B186" s="7"/>
    </row>
    <row r="187" spans="2:2" ht="15" x14ac:dyDescent="0.25">
      <c r="B187" s="7"/>
    </row>
    <row r="188" spans="2:2" ht="15" x14ac:dyDescent="0.25">
      <c r="B188" s="7"/>
    </row>
    <row r="189" spans="2:2" ht="15" x14ac:dyDescent="0.25">
      <c r="B189" s="7"/>
    </row>
    <row r="190" spans="2:2" ht="15" x14ac:dyDescent="0.25">
      <c r="B190" s="7"/>
    </row>
    <row r="191" spans="2:2" ht="15" x14ac:dyDescent="0.25">
      <c r="B191" s="7"/>
    </row>
    <row r="192" spans="2:2" ht="15" x14ac:dyDescent="0.25">
      <c r="B192" s="7"/>
    </row>
    <row r="193" spans="2:2" ht="15" x14ac:dyDescent="0.25">
      <c r="B193" s="7"/>
    </row>
    <row r="194" spans="2:2" ht="15" x14ac:dyDescent="0.25">
      <c r="B194" s="7"/>
    </row>
    <row r="195" spans="2:2" ht="15" x14ac:dyDescent="0.25">
      <c r="B195" s="7"/>
    </row>
    <row r="196" spans="2:2" ht="15" x14ac:dyDescent="0.25">
      <c r="B196" s="7"/>
    </row>
    <row r="197" spans="2:2" ht="15" x14ac:dyDescent="0.25">
      <c r="B197" s="7"/>
    </row>
    <row r="198" spans="2:2" ht="15" x14ac:dyDescent="0.25">
      <c r="B198" s="7"/>
    </row>
    <row r="199" spans="2:2" ht="15" x14ac:dyDescent="0.25">
      <c r="B199" s="7"/>
    </row>
    <row r="200" spans="2:2" ht="15" x14ac:dyDescent="0.25">
      <c r="B200" s="7"/>
    </row>
    <row r="201" spans="2:2" ht="15" x14ac:dyDescent="0.25">
      <c r="B201" s="7"/>
    </row>
    <row r="202" spans="2:2" ht="15" x14ac:dyDescent="0.25">
      <c r="B202" s="7"/>
    </row>
    <row r="203" spans="2:2" ht="15" x14ac:dyDescent="0.25">
      <c r="B203" s="7"/>
    </row>
    <row r="204" spans="2:2" ht="15" x14ac:dyDescent="0.25">
      <c r="B204" s="7"/>
    </row>
    <row r="205" spans="2:2" ht="15" x14ac:dyDescent="0.25">
      <c r="B205" s="7"/>
    </row>
    <row r="206" spans="2:2" ht="15" x14ac:dyDescent="0.25">
      <c r="B206" s="7"/>
    </row>
    <row r="207" spans="2:2" ht="15" x14ac:dyDescent="0.25">
      <c r="B207" s="7"/>
    </row>
    <row r="208" spans="2:2" ht="15" x14ac:dyDescent="0.25">
      <c r="B208" s="7"/>
    </row>
    <row r="209" spans="2:2" ht="15" x14ac:dyDescent="0.25">
      <c r="B209" s="7"/>
    </row>
    <row r="210" spans="2:2" ht="15" x14ac:dyDescent="0.25">
      <c r="B210" s="7"/>
    </row>
    <row r="211" spans="2:2" ht="15" x14ac:dyDescent="0.25">
      <c r="B211" s="7"/>
    </row>
    <row r="212" spans="2:2" ht="15" x14ac:dyDescent="0.25">
      <c r="B212" s="7"/>
    </row>
    <row r="213" spans="2:2" ht="15" x14ac:dyDescent="0.25">
      <c r="B213" s="7"/>
    </row>
    <row r="214" spans="2:2" ht="15" x14ac:dyDescent="0.25">
      <c r="B214" s="7"/>
    </row>
    <row r="215" spans="2:2" ht="15" x14ac:dyDescent="0.25">
      <c r="B215" s="7"/>
    </row>
    <row r="216" spans="2:2" ht="15" x14ac:dyDescent="0.25">
      <c r="B216" s="7"/>
    </row>
    <row r="217" spans="2:2" ht="15" x14ac:dyDescent="0.25">
      <c r="B217" s="7"/>
    </row>
    <row r="218" spans="2:2" ht="15" x14ac:dyDescent="0.25">
      <c r="B218" s="7"/>
    </row>
    <row r="219" spans="2:2" ht="15" x14ac:dyDescent="0.25">
      <c r="B219" s="7"/>
    </row>
    <row r="220" spans="2:2" ht="15" x14ac:dyDescent="0.25">
      <c r="B220" s="7"/>
    </row>
    <row r="221" spans="2:2" ht="15" x14ac:dyDescent="0.25">
      <c r="B221" s="7"/>
    </row>
    <row r="222" spans="2:2" ht="15" x14ac:dyDescent="0.25">
      <c r="B222" s="7"/>
    </row>
    <row r="223" spans="2:2" ht="15" x14ac:dyDescent="0.25">
      <c r="B223" s="7"/>
    </row>
    <row r="224" spans="2:2" ht="15" x14ac:dyDescent="0.25">
      <c r="B224" s="7"/>
    </row>
    <row r="225" spans="2:2" ht="15" x14ac:dyDescent="0.25">
      <c r="B225" s="7"/>
    </row>
    <row r="226" spans="2:2" ht="15" x14ac:dyDescent="0.25">
      <c r="B226" s="7"/>
    </row>
    <row r="227" spans="2:2" ht="15" x14ac:dyDescent="0.25">
      <c r="B227" s="7"/>
    </row>
    <row r="228" spans="2:2" ht="15" x14ac:dyDescent="0.25">
      <c r="B228" s="7"/>
    </row>
    <row r="229" spans="2:2" ht="15" x14ac:dyDescent="0.25">
      <c r="B229" s="7"/>
    </row>
    <row r="230" spans="2:2" ht="15" x14ac:dyDescent="0.25">
      <c r="B230" s="7"/>
    </row>
    <row r="231" spans="2:2" ht="15" x14ac:dyDescent="0.25">
      <c r="B231" s="7"/>
    </row>
    <row r="232" spans="2:2" ht="15" x14ac:dyDescent="0.25">
      <c r="B232" s="7"/>
    </row>
    <row r="233" spans="2:2" ht="15" x14ac:dyDescent="0.25">
      <c r="B233" s="7"/>
    </row>
    <row r="234" spans="2:2" ht="15" x14ac:dyDescent="0.25">
      <c r="B234" s="7"/>
    </row>
    <row r="235" spans="2:2" ht="15" x14ac:dyDescent="0.25">
      <c r="B235" s="7"/>
    </row>
    <row r="236" spans="2:2" ht="15" x14ac:dyDescent="0.25">
      <c r="B236" s="7"/>
    </row>
    <row r="237" spans="2:2" ht="15" x14ac:dyDescent="0.25">
      <c r="B237" s="7"/>
    </row>
    <row r="238" spans="2:2" ht="15" x14ac:dyDescent="0.25">
      <c r="B238" s="7"/>
    </row>
    <row r="239" spans="2:2" ht="15" x14ac:dyDescent="0.25">
      <c r="B239" s="7"/>
    </row>
    <row r="240" spans="2:2" ht="15" x14ac:dyDescent="0.25">
      <c r="B240" s="7"/>
    </row>
    <row r="241" spans="2:2" ht="15" x14ac:dyDescent="0.25">
      <c r="B241" s="7"/>
    </row>
    <row r="242" spans="2:2" ht="15" x14ac:dyDescent="0.25">
      <c r="B242" s="7"/>
    </row>
    <row r="243" spans="2:2" ht="15" x14ac:dyDescent="0.25">
      <c r="B243" s="7"/>
    </row>
    <row r="244" spans="2:2" ht="15" x14ac:dyDescent="0.25">
      <c r="B244" s="7"/>
    </row>
    <row r="245" spans="2:2" ht="15" x14ac:dyDescent="0.25">
      <c r="B245" s="7"/>
    </row>
    <row r="246" spans="2:2" ht="15" x14ac:dyDescent="0.25">
      <c r="B246" s="7"/>
    </row>
    <row r="247" spans="2:2" ht="15" x14ac:dyDescent="0.25">
      <c r="B247" s="7"/>
    </row>
    <row r="248" spans="2:2" ht="15" x14ac:dyDescent="0.25">
      <c r="B248" s="7"/>
    </row>
    <row r="249" spans="2:2" ht="15" x14ac:dyDescent="0.25">
      <c r="B249" s="7"/>
    </row>
    <row r="250" spans="2:2" ht="15" x14ac:dyDescent="0.25">
      <c r="B250" s="7"/>
    </row>
    <row r="251" spans="2:2" ht="15" x14ac:dyDescent="0.25">
      <c r="B251" s="7"/>
    </row>
    <row r="252" spans="2:2" ht="15" x14ac:dyDescent="0.25">
      <c r="B252" s="7"/>
    </row>
    <row r="253" spans="2:2" ht="15" x14ac:dyDescent="0.25">
      <c r="B253" s="7"/>
    </row>
    <row r="254" spans="2:2" ht="15" x14ac:dyDescent="0.25">
      <c r="B254" s="7"/>
    </row>
    <row r="255" spans="2:2" ht="15" x14ac:dyDescent="0.25">
      <c r="B255" s="7"/>
    </row>
    <row r="256" spans="2:2" ht="15" x14ac:dyDescent="0.25">
      <c r="B256" s="7"/>
    </row>
    <row r="257" spans="2:2" ht="15" x14ac:dyDescent="0.25">
      <c r="B257" s="7"/>
    </row>
    <row r="258" spans="2:2" ht="15" x14ac:dyDescent="0.25">
      <c r="B258" s="7"/>
    </row>
    <row r="259" spans="2:2" ht="15" x14ac:dyDescent="0.25">
      <c r="B259" s="7"/>
    </row>
    <row r="260" spans="2:2" ht="15" x14ac:dyDescent="0.25">
      <c r="B260" s="7"/>
    </row>
    <row r="261" spans="2:2" ht="15" x14ac:dyDescent="0.25">
      <c r="B261" s="7"/>
    </row>
    <row r="262" spans="2:2" ht="15" x14ac:dyDescent="0.25">
      <c r="B262" s="7"/>
    </row>
    <row r="263" spans="2:2" ht="15" x14ac:dyDescent="0.25">
      <c r="B263" s="7"/>
    </row>
    <row r="264" spans="2:2" ht="15" x14ac:dyDescent="0.25">
      <c r="B264" s="7"/>
    </row>
    <row r="265" spans="2:2" ht="15" x14ac:dyDescent="0.25">
      <c r="B265" s="7"/>
    </row>
    <row r="266" spans="2:2" ht="15" x14ac:dyDescent="0.25">
      <c r="B266" s="7"/>
    </row>
    <row r="267" spans="2:2" ht="15" x14ac:dyDescent="0.25">
      <c r="B267" s="7"/>
    </row>
    <row r="268" spans="2:2" ht="15" x14ac:dyDescent="0.25">
      <c r="B268" s="7"/>
    </row>
    <row r="269" spans="2:2" ht="15" x14ac:dyDescent="0.25">
      <c r="B269" s="7"/>
    </row>
    <row r="270" spans="2:2" ht="15" x14ac:dyDescent="0.25">
      <c r="B270" s="7"/>
    </row>
    <row r="271" spans="2:2" ht="15" x14ac:dyDescent="0.25">
      <c r="B271" s="7"/>
    </row>
    <row r="272" spans="2:2" ht="15" x14ac:dyDescent="0.25">
      <c r="B272" s="7"/>
    </row>
    <row r="273" spans="2:2" ht="15" x14ac:dyDescent="0.25">
      <c r="B273" s="7"/>
    </row>
    <row r="274" spans="2:2" ht="15" x14ac:dyDescent="0.25">
      <c r="B274" s="7"/>
    </row>
    <row r="275" spans="2:2" ht="15" x14ac:dyDescent="0.25">
      <c r="B275" s="7"/>
    </row>
    <row r="276" spans="2:2" ht="15" x14ac:dyDescent="0.25">
      <c r="B276" s="7"/>
    </row>
    <row r="277" spans="2:2" ht="15" x14ac:dyDescent="0.25">
      <c r="B277" s="7"/>
    </row>
    <row r="278" spans="2:2" ht="15" x14ac:dyDescent="0.25">
      <c r="B278" s="7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5"/>
  <sheetViews>
    <sheetView topLeftCell="A61" workbookViewId="0">
      <selection activeCell="C77" sqref="C77"/>
    </sheetView>
  </sheetViews>
  <sheetFormatPr defaultRowHeight="15" x14ac:dyDescent="0.25"/>
  <cols>
    <col min="1" max="1" width="22.75" style="2" customWidth="1"/>
    <col min="2" max="10" width="10.75" style="2" customWidth="1"/>
    <col min="11" max="11" width="17" style="2" customWidth="1"/>
    <col min="12" max="14" width="10.75" style="2" customWidth="1"/>
    <col min="15" max="16384" width="9" style="2"/>
  </cols>
  <sheetData>
    <row r="1" spans="1:4" x14ac:dyDescent="0.25">
      <c r="A1" s="1" t="s">
        <v>0</v>
      </c>
      <c r="B1" s="1" t="s">
        <v>1</v>
      </c>
      <c r="C1" s="1" t="s">
        <v>3</v>
      </c>
      <c r="D1" s="1" t="s">
        <v>2</v>
      </c>
    </row>
    <row r="2" spans="1:4" x14ac:dyDescent="0.25">
      <c r="A2" s="2" t="s">
        <v>4</v>
      </c>
      <c r="B2" s="2">
        <v>347</v>
      </c>
      <c r="C2" s="2">
        <v>347</v>
      </c>
      <c r="D2" s="3">
        <f t="shared" ref="D2:D70" si="0">IF(C2&lt;&gt;"",IF(B2&lt;&gt;"",C2-B2,"-"), "-")</f>
        <v>0</v>
      </c>
    </row>
    <row r="3" spans="1:4" x14ac:dyDescent="0.25">
      <c r="A3" s="2">
        <v>1</v>
      </c>
      <c r="B3" s="2">
        <v>1973</v>
      </c>
      <c r="C3" s="2">
        <v>2256</v>
      </c>
      <c r="D3" s="3">
        <f t="shared" si="0"/>
        <v>283</v>
      </c>
    </row>
    <row r="4" spans="1:4" x14ac:dyDescent="0.25">
      <c r="A4" s="2">
        <f>A3+1</f>
        <v>2</v>
      </c>
      <c r="B4" s="2">
        <v>5594</v>
      </c>
      <c r="C4" s="2">
        <v>6039</v>
      </c>
      <c r="D4" s="3">
        <f t="shared" si="0"/>
        <v>445</v>
      </c>
    </row>
    <row r="5" spans="1:4" x14ac:dyDescent="0.25">
      <c r="A5" s="2">
        <f t="shared" ref="A5:A31" si="1">A4+1</f>
        <v>3</v>
      </c>
      <c r="B5" s="2">
        <v>9208</v>
      </c>
      <c r="C5" s="2">
        <v>9778</v>
      </c>
      <c r="D5" s="3">
        <f t="shared" si="0"/>
        <v>570</v>
      </c>
    </row>
    <row r="6" spans="1:4" x14ac:dyDescent="0.25">
      <c r="A6" s="2">
        <f t="shared" si="1"/>
        <v>4</v>
      </c>
      <c r="B6" s="2">
        <v>12668</v>
      </c>
      <c r="C6" s="2">
        <v>13996</v>
      </c>
      <c r="D6" s="3">
        <f t="shared" si="0"/>
        <v>1328</v>
      </c>
    </row>
    <row r="7" spans="1:4" x14ac:dyDescent="0.25">
      <c r="A7" s="2">
        <f t="shared" si="1"/>
        <v>5</v>
      </c>
      <c r="B7" s="2">
        <v>15458</v>
      </c>
      <c r="C7" s="2">
        <v>18801</v>
      </c>
      <c r="D7" s="3">
        <f t="shared" si="0"/>
        <v>3343</v>
      </c>
    </row>
    <row r="8" spans="1:4" x14ac:dyDescent="0.25">
      <c r="A8" s="2">
        <f t="shared" si="1"/>
        <v>6</v>
      </c>
      <c r="B8" s="2">
        <v>20220</v>
      </c>
      <c r="C8" s="2">
        <v>24011</v>
      </c>
      <c r="D8" s="3">
        <f t="shared" si="0"/>
        <v>3791</v>
      </c>
    </row>
    <row r="9" spans="1:4" x14ac:dyDescent="0.25">
      <c r="A9" s="2">
        <f t="shared" si="1"/>
        <v>7</v>
      </c>
      <c r="B9" s="2">
        <v>23845</v>
      </c>
      <c r="C9" s="2">
        <v>28099</v>
      </c>
      <c r="D9" s="3">
        <f t="shared" si="0"/>
        <v>4254</v>
      </c>
    </row>
    <row r="10" spans="1:4" x14ac:dyDescent="0.25">
      <c r="A10" s="2">
        <f t="shared" si="1"/>
        <v>8</v>
      </c>
      <c r="B10" s="2">
        <v>27369</v>
      </c>
      <c r="C10" s="2">
        <v>32036</v>
      </c>
      <c r="D10" s="3">
        <f t="shared" si="0"/>
        <v>4667</v>
      </c>
    </row>
    <row r="11" spans="1:4" x14ac:dyDescent="0.25">
      <c r="A11" s="2">
        <f t="shared" si="1"/>
        <v>9</v>
      </c>
      <c r="B11" s="2">
        <v>32334</v>
      </c>
      <c r="C11" s="2">
        <v>37877</v>
      </c>
      <c r="D11" s="3">
        <f t="shared" si="0"/>
        <v>5543</v>
      </c>
    </row>
    <row r="12" spans="1:4" x14ac:dyDescent="0.25">
      <c r="A12" s="2">
        <f t="shared" si="1"/>
        <v>10</v>
      </c>
      <c r="B12" s="2">
        <v>35635</v>
      </c>
      <c r="C12" s="2">
        <v>41646</v>
      </c>
      <c r="D12" s="3">
        <f t="shared" si="0"/>
        <v>6011</v>
      </c>
    </row>
    <row r="13" spans="1:4" x14ac:dyDescent="0.25">
      <c r="A13" s="2">
        <f t="shared" si="1"/>
        <v>11</v>
      </c>
      <c r="B13" s="2">
        <v>38350</v>
      </c>
      <c r="C13" s="2">
        <v>45474</v>
      </c>
      <c r="D13" s="3">
        <f t="shared" si="0"/>
        <v>7124</v>
      </c>
    </row>
    <row r="14" spans="1:4" x14ac:dyDescent="0.25">
      <c r="A14" s="2">
        <f t="shared" si="1"/>
        <v>12</v>
      </c>
      <c r="B14" s="2">
        <v>41932</v>
      </c>
      <c r="C14" s="2">
        <v>50990</v>
      </c>
      <c r="D14" s="3">
        <f t="shared" si="0"/>
        <v>9058</v>
      </c>
    </row>
    <row r="15" spans="1:4" x14ac:dyDescent="0.25">
      <c r="A15" s="2">
        <f t="shared" si="1"/>
        <v>13</v>
      </c>
      <c r="B15" s="2">
        <v>45855</v>
      </c>
      <c r="C15" s="2">
        <v>55415</v>
      </c>
      <c r="D15" s="3">
        <f t="shared" si="0"/>
        <v>9560</v>
      </c>
    </row>
    <row r="16" spans="1:4" x14ac:dyDescent="0.25">
      <c r="A16" s="2">
        <f t="shared" si="1"/>
        <v>14</v>
      </c>
      <c r="B16" s="2">
        <v>50630</v>
      </c>
      <c r="C16" s="2">
        <v>60540</v>
      </c>
      <c r="D16" s="3">
        <f t="shared" si="0"/>
        <v>9910</v>
      </c>
    </row>
    <row r="17" spans="1:9" x14ac:dyDescent="0.25">
      <c r="A17" s="2">
        <f t="shared" si="1"/>
        <v>15</v>
      </c>
      <c r="B17" s="4">
        <v>55302</v>
      </c>
      <c r="C17" s="2">
        <v>65410</v>
      </c>
      <c r="D17" s="3">
        <f t="shared" si="0"/>
        <v>10108</v>
      </c>
    </row>
    <row r="18" spans="1:9" x14ac:dyDescent="0.25">
      <c r="A18" s="2">
        <f t="shared" si="1"/>
        <v>16</v>
      </c>
      <c r="B18" s="2">
        <v>58398</v>
      </c>
      <c r="C18" s="2">
        <v>68919</v>
      </c>
      <c r="D18" s="3">
        <f t="shared" si="0"/>
        <v>10521</v>
      </c>
    </row>
    <row r="19" spans="1:9" x14ac:dyDescent="0.25">
      <c r="A19" s="2">
        <f t="shared" si="1"/>
        <v>17</v>
      </c>
      <c r="B19" s="2">
        <v>63243</v>
      </c>
      <c r="C19" s="2">
        <v>74902</v>
      </c>
      <c r="D19" s="3">
        <f t="shared" si="0"/>
        <v>11659</v>
      </c>
      <c r="I19" s="2">
        <v>99357</v>
      </c>
    </row>
    <row r="20" spans="1:9" x14ac:dyDescent="0.25">
      <c r="A20" s="2">
        <f t="shared" si="1"/>
        <v>18</v>
      </c>
      <c r="B20" s="2">
        <v>68698</v>
      </c>
      <c r="C20" s="2">
        <v>82072</v>
      </c>
      <c r="D20" s="3">
        <f t="shared" si="0"/>
        <v>13374</v>
      </c>
      <c r="I20" s="2">
        <v>98621</v>
      </c>
    </row>
    <row r="21" spans="1:9" x14ac:dyDescent="0.25">
      <c r="A21" s="2">
        <f t="shared" si="1"/>
        <v>19</v>
      </c>
      <c r="B21" s="2">
        <v>71616</v>
      </c>
      <c r="C21" s="2">
        <v>85866</v>
      </c>
      <c r="D21" s="3">
        <f t="shared" si="0"/>
        <v>14250</v>
      </c>
      <c r="I21" s="2">
        <f>I19-I20</f>
        <v>736</v>
      </c>
    </row>
    <row r="22" spans="1:9" x14ac:dyDescent="0.25">
      <c r="A22" s="2">
        <f t="shared" si="1"/>
        <v>20</v>
      </c>
      <c r="B22" s="2">
        <v>76434</v>
      </c>
      <c r="C22" s="2">
        <v>90752</v>
      </c>
      <c r="D22" s="3">
        <f t="shared" si="0"/>
        <v>14318</v>
      </c>
    </row>
    <row r="23" spans="1:9" x14ac:dyDescent="0.25">
      <c r="A23" s="2">
        <f t="shared" si="1"/>
        <v>21</v>
      </c>
      <c r="B23" s="2">
        <v>81263</v>
      </c>
      <c r="C23" s="2">
        <v>97300</v>
      </c>
      <c r="D23" s="3">
        <f t="shared" si="0"/>
        <v>16037</v>
      </c>
    </row>
    <row r="24" spans="1:9" x14ac:dyDescent="0.25">
      <c r="A24" s="2">
        <f t="shared" si="1"/>
        <v>22</v>
      </c>
      <c r="B24" s="2">
        <v>85561</v>
      </c>
      <c r="C24" s="2">
        <v>102904</v>
      </c>
      <c r="D24" s="3">
        <f t="shared" si="0"/>
        <v>17343</v>
      </c>
    </row>
    <row r="25" spans="1:9" x14ac:dyDescent="0.25">
      <c r="A25" s="2">
        <f t="shared" si="1"/>
        <v>23</v>
      </c>
      <c r="B25" s="2">
        <v>91585</v>
      </c>
      <c r="C25" s="2">
        <v>112456</v>
      </c>
      <c r="D25" s="3">
        <f t="shared" si="0"/>
        <v>20871</v>
      </c>
    </row>
    <row r="26" spans="1:9" x14ac:dyDescent="0.25">
      <c r="A26" s="2">
        <f t="shared" si="1"/>
        <v>24</v>
      </c>
      <c r="B26" s="2">
        <v>94453</v>
      </c>
      <c r="C26" s="2">
        <v>116217</v>
      </c>
      <c r="D26" s="3">
        <f t="shared" si="0"/>
        <v>21764</v>
      </c>
    </row>
    <row r="27" spans="1:9" x14ac:dyDescent="0.25">
      <c r="B27" s="2">
        <v>96612</v>
      </c>
      <c r="C27" s="5">
        <v>118434</v>
      </c>
      <c r="D27" s="3">
        <f t="shared" si="0"/>
        <v>21822</v>
      </c>
    </row>
    <row r="28" spans="1:9" x14ac:dyDescent="0.25">
      <c r="A28" s="2">
        <f>A26+1</f>
        <v>25</v>
      </c>
      <c r="B28" s="2">
        <v>98559</v>
      </c>
      <c r="C28" s="2">
        <v>120804</v>
      </c>
      <c r="D28" s="3">
        <f t="shared" si="0"/>
        <v>22245</v>
      </c>
    </row>
    <row r="29" spans="1:9" x14ac:dyDescent="0.25">
      <c r="A29" s="2">
        <f t="shared" si="1"/>
        <v>26</v>
      </c>
      <c r="B29" s="2">
        <v>103385</v>
      </c>
      <c r="C29" s="2">
        <v>125924</v>
      </c>
      <c r="D29" s="3">
        <f t="shared" si="0"/>
        <v>22539</v>
      </c>
    </row>
    <row r="30" spans="1:9" x14ac:dyDescent="0.25">
      <c r="A30" s="2">
        <f t="shared" si="1"/>
        <v>27</v>
      </c>
      <c r="B30" s="2">
        <v>109775</v>
      </c>
      <c r="C30" s="2">
        <v>134560</v>
      </c>
      <c r="D30" s="3">
        <f t="shared" si="0"/>
        <v>24785</v>
      </c>
    </row>
    <row r="31" spans="1:9" x14ac:dyDescent="0.25">
      <c r="A31" s="2">
        <f t="shared" si="1"/>
        <v>28</v>
      </c>
      <c r="D31" s="3" t="str">
        <f t="shared" si="0"/>
        <v>-</v>
      </c>
    </row>
    <row r="32" spans="1:9" x14ac:dyDescent="0.25">
      <c r="A32" s="5" t="s">
        <v>5</v>
      </c>
      <c r="B32" s="2">
        <v>114157</v>
      </c>
      <c r="C32" s="2">
        <v>141048</v>
      </c>
      <c r="D32" s="3">
        <f t="shared" si="0"/>
        <v>26891</v>
      </c>
    </row>
    <row r="33" spans="1:4" x14ac:dyDescent="0.25">
      <c r="A33" s="5" t="s">
        <v>27</v>
      </c>
      <c r="B33" s="2">
        <v>117904</v>
      </c>
      <c r="C33" s="2">
        <v>145397</v>
      </c>
      <c r="D33" s="3">
        <f t="shared" si="0"/>
        <v>27493</v>
      </c>
    </row>
    <row r="34" spans="1:4" x14ac:dyDescent="0.25">
      <c r="A34" s="5" t="s">
        <v>6</v>
      </c>
      <c r="B34" s="2">
        <v>118257</v>
      </c>
      <c r="C34" s="2">
        <v>146464</v>
      </c>
      <c r="D34" s="3">
        <f t="shared" si="0"/>
        <v>28207</v>
      </c>
    </row>
    <row r="35" spans="1:4" x14ac:dyDescent="0.25">
      <c r="A35" s="5" t="s">
        <v>45</v>
      </c>
      <c r="B35" s="2">
        <v>121857</v>
      </c>
      <c r="C35" s="2">
        <v>150524</v>
      </c>
      <c r="D35" s="3">
        <f t="shared" si="0"/>
        <v>28667</v>
      </c>
    </row>
    <row r="36" spans="1:4" x14ac:dyDescent="0.25">
      <c r="A36" s="5" t="s">
        <v>7</v>
      </c>
      <c r="B36" s="2">
        <v>122218</v>
      </c>
      <c r="C36" s="2">
        <v>151592</v>
      </c>
      <c r="D36" s="3">
        <f t="shared" si="0"/>
        <v>29374</v>
      </c>
    </row>
    <row r="37" spans="1:4" x14ac:dyDescent="0.25">
      <c r="A37" s="5" t="s">
        <v>46</v>
      </c>
      <c r="B37" s="2">
        <v>123474</v>
      </c>
      <c r="C37" s="2">
        <v>153052</v>
      </c>
      <c r="D37" s="3">
        <f t="shared" si="0"/>
        <v>29578</v>
      </c>
    </row>
    <row r="38" spans="1:4" x14ac:dyDescent="0.25">
      <c r="A38" s="5" t="s">
        <v>8</v>
      </c>
      <c r="B38" s="2">
        <v>123817</v>
      </c>
      <c r="C38" s="2">
        <v>154119</v>
      </c>
      <c r="D38" s="3">
        <f t="shared" si="0"/>
        <v>30302</v>
      </c>
    </row>
    <row r="39" spans="1:4" x14ac:dyDescent="0.25">
      <c r="A39" s="5" t="s">
        <v>28</v>
      </c>
      <c r="B39" s="2">
        <v>127138</v>
      </c>
      <c r="C39" s="2">
        <v>158045</v>
      </c>
      <c r="D39" s="3">
        <f t="shared" si="0"/>
        <v>30907</v>
      </c>
    </row>
    <row r="40" spans="1:4" x14ac:dyDescent="0.25">
      <c r="A40" s="5" t="s">
        <v>9</v>
      </c>
      <c r="B40" s="2">
        <v>127481</v>
      </c>
      <c r="C40" s="2">
        <v>159112</v>
      </c>
      <c r="D40" s="3">
        <f t="shared" si="0"/>
        <v>31631</v>
      </c>
    </row>
    <row r="41" spans="1:4" x14ac:dyDescent="0.25">
      <c r="A41" s="5" t="s">
        <v>29</v>
      </c>
      <c r="B41" s="2">
        <v>130266</v>
      </c>
      <c r="C41" s="2">
        <v>162453</v>
      </c>
      <c r="D41" s="3">
        <f t="shared" si="0"/>
        <v>32187</v>
      </c>
    </row>
    <row r="42" spans="1:4" x14ac:dyDescent="0.25">
      <c r="A42" s="5" t="s">
        <v>10</v>
      </c>
      <c r="B42" s="2">
        <v>130612</v>
      </c>
      <c r="C42" s="2">
        <v>163519</v>
      </c>
      <c r="D42" s="3">
        <f t="shared" si="0"/>
        <v>32907</v>
      </c>
    </row>
    <row r="43" spans="1:4" x14ac:dyDescent="0.25">
      <c r="A43" s="5" t="s">
        <v>31</v>
      </c>
      <c r="B43" s="2">
        <v>134030</v>
      </c>
      <c r="C43" s="2">
        <v>167634</v>
      </c>
      <c r="D43" s="3">
        <f t="shared" si="0"/>
        <v>33604</v>
      </c>
    </row>
    <row r="44" spans="1:4" x14ac:dyDescent="0.25">
      <c r="A44" s="5" t="s">
        <v>11</v>
      </c>
      <c r="B44" s="2">
        <v>134376</v>
      </c>
      <c r="C44" s="2">
        <v>168700</v>
      </c>
      <c r="D44" s="3">
        <f t="shared" si="0"/>
        <v>34324</v>
      </c>
    </row>
    <row r="45" spans="1:4" x14ac:dyDescent="0.25">
      <c r="A45" s="5" t="s">
        <v>30</v>
      </c>
      <c r="B45" s="2">
        <v>137722</v>
      </c>
      <c r="C45" s="2">
        <v>172230</v>
      </c>
      <c r="D45" s="3">
        <f t="shared" si="0"/>
        <v>34508</v>
      </c>
    </row>
    <row r="46" spans="1:4" x14ac:dyDescent="0.25">
      <c r="A46" s="5" t="s">
        <v>12</v>
      </c>
      <c r="B46" s="2">
        <v>138065</v>
      </c>
      <c r="C46" s="2">
        <v>173296</v>
      </c>
      <c r="D46" s="3">
        <f t="shared" si="0"/>
        <v>35231</v>
      </c>
    </row>
    <row r="47" spans="1:4" x14ac:dyDescent="0.25">
      <c r="A47" s="5" t="s">
        <v>32</v>
      </c>
      <c r="B47" s="2">
        <v>140702</v>
      </c>
      <c r="C47" s="2">
        <v>177203</v>
      </c>
      <c r="D47" s="3">
        <f t="shared" si="0"/>
        <v>36501</v>
      </c>
    </row>
    <row r="48" spans="1:4" x14ac:dyDescent="0.25">
      <c r="A48" s="5" t="s">
        <v>13</v>
      </c>
      <c r="B48" s="2">
        <v>141046</v>
      </c>
      <c r="C48" s="2">
        <v>178269</v>
      </c>
      <c r="D48" s="3">
        <f t="shared" si="0"/>
        <v>37223</v>
      </c>
    </row>
    <row r="49" spans="1:4" x14ac:dyDescent="0.25">
      <c r="A49" s="7" t="s">
        <v>47</v>
      </c>
      <c r="B49" s="2">
        <v>144332</v>
      </c>
      <c r="C49" s="2">
        <v>182363</v>
      </c>
      <c r="D49" s="3">
        <f t="shared" si="0"/>
        <v>38031</v>
      </c>
    </row>
    <row r="50" spans="1:4" x14ac:dyDescent="0.25">
      <c r="A50" s="7" t="s">
        <v>48</v>
      </c>
      <c r="B50" s="2">
        <v>144676</v>
      </c>
      <c r="C50" s="2">
        <v>183431</v>
      </c>
      <c r="D50" s="3">
        <f t="shared" si="0"/>
        <v>38755</v>
      </c>
    </row>
    <row r="51" spans="1:4" x14ac:dyDescent="0.25">
      <c r="A51" s="7" t="s">
        <v>33</v>
      </c>
      <c r="B51" s="2">
        <v>148440</v>
      </c>
      <c r="C51" s="2">
        <v>187810</v>
      </c>
      <c r="D51" s="3">
        <f t="shared" si="0"/>
        <v>39370</v>
      </c>
    </row>
    <row r="52" spans="1:4" x14ac:dyDescent="0.25">
      <c r="A52" s="5" t="s">
        <v>14</v>
      </c>
      <c r="B52" s="2">
        <v>148783</v>
      </c>
      <c r="C52" s="2">
        <v>188877</v>
      </c>
      <c r="D52" s="3">
        <f t="shared" si="0"/>
        <v>40094</v>
      </c>
    </row>
    <row r="53" spans="1:4" x14ac:dyDescent="0.25">
      <c r="A53" s="5" t="s">
        <v>34</v>
      </c>
      <c r="B53" s="2">
        <v>150650</v>
      </c>
      <c r="C53" s="2">
        <v>190986</v>
      </c>
      <c r="D53" s="3">
        <f t="shared" si="0"/>
        <v>40336</v>
      </c>
    </row>
    <row r="54" spans="1:4" x14ac:dyDescent="0.25">
      <c r="A54" s="5" t="s">
        <v>15</v>
      </c>
      <c r="B54" s="2">
        <v>150993</v>
      </c>
      <c r="C54" s="2">
        <v>192052</v>
      </c>
      <c r="D54" s="3">
        <f t="shared" si="0"/>
        <v>41059</v>
      </c>
    </row>
    <row r="55" spans="1:4" x14ac:dyDescent="0.25">
      <c r="A55" s="5" t="s">
        <v>35</v>
      </c>
      <c r="B55" s="2">
        <v>155366</v>
      </c>
      <c r="C55" s="2">
        <v>198298</v>
      </c>
      <c r="D55" s="3">
        <f t="shared" si="0"/>
        <v>42932</v>
      </c>
    </row>
    <row r="56" spans="1:4" x14ac:dyDescent="0.25">
      <c r="A56" s="5" t="s">
        <v>16</v>
      </c>
      <c r="B56" s="2">
        <v>155709</v>
      </c>
      <c r="C56" s="2">
        <v>199364</v>
      </c>
      <c r="D56" s="3">
        <f t="shared" si="0"/>
        <v>43655</v>
      </c>
    </row>
    <row r="57" spans="1:4" x14ac:dyDescent="0.25">
      <c r="A57" s="5" t="s">
        <v>36</v>
      </c>
      <c r="B57" s="7">
        <v>159691</v>
      </c>
      <c r="C57" s="2">
        <v>203725</v>
      </c>
      <c r="D57" s="3">
        <f t="shared" si="0"/>
        <v>44034</v>
      </c>
    </row>
    <row r="58" spans="1:4" x14ac:dyDescent="0.25">
      <c r="A58" s="5" t="s">
        <v>17</v>
      </c>
      <c r="B58" s="2">
        <v>160034</v>
      </c>
      <c r="C58" s="2">
        <v>204792</v>
      </c>
      <c r="D58" s="3">
        <f t="shared" si="0"/>
        <v>44758</v>
      </c>
    </row>
    <row r="59" spans="1:4" x14ac:dyDescent="0.25">
      <c r="A59" s="5" t="s">
        <v>37</v>
      </c>
      <c r="B59" s="2">
        <v>164319</v>
      </c>
      <c r="C59" s="2">
        <v>209869</v>
      </c>
      <c r="D59" s="3">
        <f t="shared" si="0"/>
        <v>45550</v>
      </c>
    </row>
    <row r="60" spans="1:4" x14ac:dyDescent="0.25">
      <c r="A60" s="5" t="s">
        <v>18</v>
      </c>
      <c r="B60" s="2">
        <v>164662</v>
      </c>
      <c r="C60" s="2">
        <v>210935</v>
      </c>
      <c r="D60" s="3">
        <f t="shared" si="0"/>
        <v>46273</v>
      </c>
    </row>
    <row r="61" spans="1:4" x14ac:dyDescent="0.25">
      <c r="A61" s="5" t="s">
        <v>38</v>
      </c>
      <c r="B61" s="2">
        <v>166649</v>
      </c>
      <c r="C61" s="2">
        <v>213616</v>
      </c>
      <c r="D61" s="3">
        <f t="shared" si="0"/>
        <v>46967</v>
      </c>
    </row>
    <row r="62" spans="1:4" x14ac:dyDescent="0.25">
      <c r="A62" s="5" t="s">
        <v>19</v>
      </c>
      <c r="B62" s="2">
        <v>167000</v>
      </c>
      <c r="C62" s="6">
        <v>214683</v>
      </c>
      <c r="D62" s="3">
        <f t="shared" si="0"/>
        <v>47683</v>
      </c>
    </row>
    <row r="63" spans="1:4" x14ac:dyDescent="0.25">
      <c r="A63" s="5" t="s">
        <v>39</v>
      </c>
      <c r="B63" s="2">
        <v>169447</v>
      </c>
      <c r="C63" s="2">
        <v>218068</v>
      </c>
      <c r="D63" s="3">
        <f t="shared" si="0"/>
        <v>48621</v>
      </c>
    </row>
    <row r="64" spans="1:4" x14ac:dyDescent="0.25">
      <c r="A64" s="5" t="s">
        <v>20</v>
      </c>
      <c r="B64" s="2">
        <v>169791</v>
      </c>
      <c r="C64" s="2">
        <v>219136</v>
      </c>
      <c r="D64" s="3">
        <f t="shared" si="0"/>
        <v>49345</v>
      </c>
    </row>
    <row r="65" spans="1:4" x14ac:dyDescent="0.25">
      <c r="A65" s="5" t="s">
        <v>40</v>
      </c>
      <c r="B65" s="2">
        <v>173339</v>
      </c>
      <c r="C65" s="2">
        <v>223225</v>
      </c>
      <c r="D65" s="3">
        <f t="shared" si="0"/>
        <v>49886</v>
      </c>
    </row>
    <row r="66" spans="1:4" x14ac:dyDescent="0.25">
      <c r="A66" s="5" t="s">
        <v>21</v>
      </c>
      <c r="B66" s="2">
        <v>173683</v>
      </c>
      <c r="C66" s="2">
        <v>224293</v>
      </c>
      <c r="D66" s="3">
        <f t="shared" si="0"/>
        <v>50610</v>
      </c>
    </row>
    <row r="67" spans="1:4" x14ac:dyDescent="0.25">
      <c r="A67" s="5" t="s">
        <v>41</v>
      </c>
      <c r="B67" s="2">
        <v>176533</v>
      </c>
      <c r="C67" s="2">
        <v>227656</v>
      </c>
      <c r="D67" s="3">
        <f t="shared" si="0"/>
        <v>51123</v>
      </c>
    </row>
    <row r="68" spans="1:4" x14ac:dyDescent="0.25">
      <c r="A68" s="5" t="s">
        <v>22</v>
      </c>
      <c r="B68" s="2">
        <v>176876</v>
      </c>
      <c r="C68" s="2">
        <v>228723</v>
      </c>
      <c r="D68" s="3">
        <f t="shared" si="0"/>
        <v>51847</v>
      </c>
    </row>
    <row r="69" spans="1:4" x14ac:dyDescent="0.25">
      <c r="A69" s="5" t="s">
        <v>42</v>
      </c>
      <c r="B69" s="2">
        <v>180458</v>
      </c>
      <c r="C69" s="2">
        <v>232919</v>
      </c>
      <c r="D69" s="3">
        <f t="shared" si="0"/>
        <v>52461</v>
      </c>
    </row>
    <row r="70" spans="1:4" x14ac:dyDescent="0.25">
      <c r="A70" s="5" t="s">
        <v>23</v>
      </c>
      <c r="B70" s="2">
        <v>180802</v>
      </c>
      <c r="C70" s="2">
        <v>233985</v>
      </c>
      <c r="D70" s="3">
        <f t="shared" si="0"/>
        <v>53183</v>
      </c>
    </row>
    <row r="71" spans="1:4" x14ac:dyDescent="0.25">
      <c r="A71" s="5" t="s">
        <v>43</v>
      </c>
      <c r="B71" s="2">
        <v>184073</v>
      </c>
      <c r="C71" s="2">
        <v>238403</v>
      </c>
      <c r="D71" s="3">
        <f t="shared" ref="D71:D75" si="2">IF(C71&lt;&gt;"",IF(B71&lt;&gt;"",C71-B71,"-"), "-")</f>
        <v>54330</v>
      </c>
    </row>
    <row r="72" spans="1:4" x14ac:dyDescent="0.25">
      <c r="A72" s="5" t="s">
        <v>24</v>
      </c>
      <c r="B72" s="2">
        <v>184417</v>
      </c>
      <c r="C72" s="2">
        <v>239469</v>
      </c>
      <c r="D72" s="3">
        <f t="shared" si="2"/>
        <v>55052</v>
      </c>
    </row>
    <row r="73" spans="1:4" x14ac:dyDescent="0.25">
      <c r="A73" s="5" t="s">
        <v>44</v>
      </c>
      <c r="B73" s="2">
        <v>187660</v>
      </c>
      <c r="C73" s="2">
        <v>243523</v>
      </c>
      <c r="D73" s="3">
        <f t="shared" si="2"/>
        <v>55863</v>
      </c>
    </row>
    <row r="74" spans="1:4" x14ac:dyDescent="0.25">
      <c r="A74" s="5" t="s">
        <v>25</v>
      </c>
      <c r="B74" s="2">
        <v>188004</v>
      </c>
      <c r="C74" s="2">
        <v>244589</v>
      </c>
      <c r="D74" s="3">
        <f t="shared" si="2"/>
        <v>56585</v>
      </c>
    </row>
    <row r="75" spans="1:4" x14ac:dyDescent="0.25">
      <c r="A75" s="5" t="s">
        <v>26</v>
      </c>
      <c r="B75" s="2">
        <v>191201</v>
      </c>
      <c r="C75" s="2">
        <v>248070</v>
      </c>
      <c r="D75" s="3">
        <f t="shared" si="2"/>
        <v>56869</v>
      </c>
    </row>
  </sheetData>
  <phoneticPr fontId="34" type="noConversion"/>
  <pageMargins left="0" right="0" top="0.39410000000000006" bottom="0.39410000000000006" header="0" footer="0"/>
  <pageSetup orientation="portrait" horizontalDpi="0" verticalDpi="0" r:id="rId1"/>
  <headerFooter>
    <oddHeader>&amp;C&amp;A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F82A59-57DF-46F6-BCD0-E7A53E611046}">
  <dimension ref="A1:L54"/>
  <sheetViews>
    <sheetView workbookViewId="0">
      <selection activeCell="H4" sqref="H4"/>
    </sheetView>
  </sheetViews>
  <sheetFormatPr defaultRowHeight="14.25" x14ac:dyDescent="0.2"/>
  <sheetData>
    <row r="1" spans="1:12" ht="15" thickBot="1" x14ac:dyDescent="0.25">
      <c r="A1" s="11"/>
      <c r="B1" s="12"/>
      <c r="C1" s="12" t="s">
        <v>157</v>
      </c>
      <c r="D1" s="12"/>
      <c r="E1" s="13"/>
      <c r="F1" s="13" t="s">
        <v>156</v>
      </c>
      <c r="G1" s="13"/>
      <c r="H1" s="14"/>
      <c r="I1" s="14"/>
      <c r="J1" s="15"/>
      <c r="K1" s="54" t="s">
        <v>158</v>
      </c>
      <c r="L1" s="55"/>
    </row>
    <row r="2" spans="1:12" ht="26.25" thickBot="1" x14ac:dyDescent="0.25">
      <c r="A2" s="11"/>
      <c r="B2" s="16" t="s">
        <v>159</v>
      </c>
      <c r="C2" s="16" t="s">
        <v>160</v>
      </c>
      <c r="D2" s="16" t="s">
        <v>161</v>
      </c>
      <c r="E2" s="17" t="s">
        <v>159</v>
      </c>
      <c r="F2" s="17" t="s">
        <v>160</v>
      </c>
      <c r="G2" s="17" t="s">
        <v>161</v>
      </c>
      <c r="H2" s="18" t="s">
        <v>162</v>
      </c>
      <c r="I2" s="18" t="s">
        <v>163</v>
      </c>
      <c r="J2" s="19"/>
      <c r="K2" s="20" t="s">
        <v>157</v>
      </c>
      <c r="L2" s="21" t="s">
        <v>156</v>
      </c>
    </row>
    <row r="3" spans="1:12" ht="15" thickBot="1" x14ac:dyDescent="0.25">
      <c r="A3" s="22">
        <v>1</v>
      </c>
      <c r="B3" s="23">
        <v>736</v>
      </c>
      <c r="C3" s="23">
        <v>1045</v>
      </c>
      <c r="D3" s="20">
        <v>309</v>
      </c>
      <c r="E3" s="24">
        <v>737</v>
      </c>
      <c r="F3" s="24">
        <v>1097</v>
      </c>
      <c r="G3" s="21">
        <v>360</v>
      </c>
      <c r="H3" s="25">
        <v>51</v>
      </c>
      <c r="I3" s="26">
        <v>51</v>
      </c>
      <c r="J3" s="19"/>
      <c r="K3" s="20">
        <v>0</v>
      </c>
      <c r="L3" s="21">
        <v>0</v>
      </c>
    </row>
    <row r="4" spans="1:12" ht="15" thickBot="1" x14ac:dyDescent="0.25">
      <c r="A4" s="22">
        <v>2</v>
      </c>
      <c r="B4" s="23">
        <v>1698</v>
      </c>
      <c r="C4" s="23">
        <v>2289</v>
      </c>
      <c r="D4" s="20">
        <v>591</v>
      </c>
      <c r="E4" s="24">
        <v>1765</v>
      </c>
      <c r="F4" s="24">
        <v>2215</v>
      </c>
      <c r="G4" s="21">
        <v>450</v>
      </c>
      <c r="H4" s="27">
        <v>-141</v>
      </c>
      <c r="I4" s="27">
        <v>-90</v>
      </c>
      <c r="J4" s="19"/>
      <c r="K4" s="20">
        <v>653</v>
      </c>
      <c r="L4" s="21">
        <v>668</v>
      </c>
    </row>
    <row r="5" spans="1:12" ht="15" thickBot="1" x14ac:dyDescent="0.25">
      <c r="A5" s="22">
        <v>3</v>
      </c>
      <c r="B5" s="23">
        <v>2958</v>
      </c>
      <c r="C5" s="23">
        <v>3371</v>
      </c>
      <c r="D5" s="20">
        <v>413</v>
      </c>
      <c r="E5" s="24">
        <v>2883</v>
      </c>
      <c r="F5" s="24">
        <v>3344</v>
      </c>
      <c r="G5" s="21">
        <v>461</v>
      </c>
      <c r="H5" s="25">
        <v>48</v>
      </c>
      <c r="I5" s="27">
        <v>-42</v>
      </c>
      <c r="J5" s="19"/>
      <c r="K5" s="20">
        <v>669</v>
      </c>
      <c r="L5" s="21">
        <v>668</v>
      </c>
    </row>
    <row r="6" spans="1:12" ht="15" thickBot="1" x14ac:dyDescent="0.25">
      <c r="A6" s="22">
        <v>4</v>
      </c>
      <c r="B6" s="23">
        <v>4033</v>
      </c>
      <c r="C6" s="23">
        <v>4542</v>
      </c>
      <c r="D6" s="20">
        <v>509</v>
      </c>
      <c r="E6" s="24">
        <v>4012</v>
      </c>
      <c r="F6" s="24">
        <v>4484</v>
      </c>
      <c r="G6" s="21">
        <v>472</v>
      </c>
      <c r="H6" s="27">
        <v>-37</v>
      </c>
      <c r="I6" s="27">
        <v>-79</v>
      </c>
      <c r="J6" s="19"/>
      <c r="K6" s="20">
        <v>662</v>
      </c>
      <c r="L6" s="21">
        <v>668</v>
      </c>
    </row>
    <row r="7" spans="1:12" ht="15" thickBot="1" x14ac:dyDescent="0.25">
      <c r="A7" s="22">
        <v>5</v>
      </c>
      <c r="B7" s="23">
        <v>5211</v>
      </c>
      <c r="C7" s="23">
        <v>5529</v>
      </c>
      <c r="D7" s="20">
        <v>318</v>
      </c>
      <c r="E7" s="24">
        <v>5152</v>
      </c>
      <c r="F7" s="24">
        <v>5456</v>
      </c>
      <c r="G7" s="21">
        <v>304</v>
      </c>
      <c r="H7" s="27">
        <v>-14</v>
      </c>
      <c r="I7" s="27">
        <v>-93</v>
      </c>
      <c r="J7" s="19"/>
      <c r="K7" s="20">
        <v>669</v>
      </c>
      <c r="L7" s="21">
        <v>668</v>
      </c>
    </row>
    <row r="8" spans="1:12" ht="15" thickBot="1" x14ac:dyDescent="0.25">
      <c r="A8" s="22">
        <v>6</v>
      </c>
      <c r="B8" s="23">
        <v>6217</v>
      </c>
      <c r="C8" s="23">
        <v>7267</v>
      </c>
      <c r="D8" s="20">
        <v>1050</v>
      </c>
      <c r="E8" s="24">
        <v>6109</v>
      </c>
      <c r="F8" s="24">
        <v>7124</v>
      </c>
      <c r="G8" s="21">
        <v>1015</v>
      </c>
      <c r="H8" s="27">
        <v>-35</v>
      </c>
      <c r="I8" s="27">
        <v>-128</v>
      </c>
      <c r="J8" s="19"/>
      <c r="K8" s="20">
        <v>688</v>
      </c>
      <c r="L8" s="21">
        <v>653</v>
      </c>
    </row>
    <row r="9" spans="1:12" ht="15" thickBot="1" x14ac:dyDescent="0.25">
      <c r="A9" s="22">
        <v>7</v>
      </c>
      <c r="B9" s="23">
        <v>7920</v>
      </c>
      <c r="C9" s="23">
        <v>8400</v>
      </c>
      <c r="D9" s="20">
        <v>480</v>
      </c>
      <c r="E9" s="24">
        <v>7778</v>
      </c>
      <c r="F9" s="24">
        <v>8252</v>
      </c>
      <c r="G9" s="21">
        <v>474</v>
      </c>
      <c r="H9" s="27">
        <v>-6</v>
      </c>
      <c r="I9" s="27">
        <v>-134</v>
      </c>
      <c r="J9" s="19"/>
      <c r="K9" s="20">
        <v>653</v>
      </c>
      <c r="L9" s="21">
        <v>654</v>
      </c>
    </row>
    <row r="10" spans="1:12" ht="15" thickBot="1" x14ac:dyDescent="0.25">
      <c r="A10" s="22">
        <v>8</v>
      </c>
      <c r="B10" s="23">
        <v>9055</v>
      </c>
      <c r="C10" s="23">
        <v>9472</v>
      </c>
      <c r="D10" s="20">
        <v>417</v>
      </c>
      <c r="E10" s="24">
        <v>8905</v>
      </c>
      <c r="F10" s="24">
        <v>9306</v>
      </c>
      <c r="G10" s="21">
        <v>401</v>
      </c>
      <c r="H10" s="27">
        <v>-16</v>
      </c>
      <c r="I10" s="27">
        <v>-150</v>
      </c>
      <c r="J10" s="19"/>
      <c r="K10" s="20">
        <v>655</v>
      </c>
      <c r="L10" s="21">
        <v>653</v>
      </c>
    </row>
    <row r="11" spans="1:12" ht="15" thickBot="1" x14ac:dyDescent="0.25">
      <c r="A11" s="22">
        <v>9</v>
      </c>
      <c r="B11" s="23">
        <v>10127</v>
      </c>
      <c r="C11" s="23">
        <v>11213</v>
      </c>
      <c r="D11" s="20">
        <v>1086</v>
      </c>
      <c r="E11" s="24">
        <v>9959</v>
      </c>
      <c r="F11" s="24">
        <v>11042</v>
      </c>
      <c r="G11" s="21">
        <v>1083</v>
      </c>
      <c r="H11" s="27">
        <v>-3</v>
      </c>
      <c r="I11" s="27">
        <v>-153</v>
      </c>
      <c r="J11" s="19"/>
      <c r="K11" s="20">
        <v>655</v>
      </c>
      <c r="L11" s="21">
        <v>653</v>
      </c>
    </row>
    <row r="12" spans="1:12" ht="15" thickBot="1" x14ac:dyDescent="0.25">
      <c r="A12" s="22">
        <v>10</v>
      </c>
      <c r="B12" s="23">
        <v>11860</v>
      </c>
      <c r="C12" s="23">
        <v>12424</v>
      </c>
      <c r="D12" s="20">
        <v>564</v>
      </c>
      <c r="E12" s="24">
        <v>11688</v>
      </c>
      <c r="F12" s="24">
        <v>12332</v>
      </c>
      <c r="G12" s="21">
        <v>644</v>
      </c>
      <c r="H12" s="25">
        <v>80</v>
      </c>
      <c r="I12" s="27">
        <v>-73</v>
      </c>
      <c r="J12" s="19"/>
      <c r="K12" s="20">
        <v>647</v>
      </c>
      <c r="L12" s="21">
        <v>646</v>
      </c>
    </row>
    <row r="13" spans="1:12" ht="15" thickBot="1" x14ac:dyDescent="0.25">
      <c r="A13" s="22">
        <v>11</v>
      </c>
      <c r="B13" s="23">
        <v>13092</v>
      </c>
      <c r="C13" s="23">
        <v>13405</v>
      </c>
      <c r="D13" s="20">
        <v>313</v>
      </c>
      <c r="E13" s="24">
        <v>12999</v>
      </c>
      <c r="F13" s="24">
        <v>13382</v>
      </c>
      <c r="G13" s="21">
        <v>383</v>
      </c>
      <c r="H13" s="25">
        <v>70</v>
      </c>
      <c r="I13" s="27">
        <v>-3</v>
      </c>
      <c r="J13" s="19"/>
      <c r="K13" s="20">
        <v>668</v>
      </c>
      <c r="L13" s="21">
        <v>667</v>
      </c>
    </row>
    <row r="14" spans="1:12" ht="15" thickBot="1" x14ac:dyDescent="0.25">
      <c r="A14" s="22">
        <v>12</v>
      </c>
      <c r="B14" s="23">
        <v>14074</v>
      </c>
      <c r="C14" s="23">
        <v>14755</v>
      </c>
      <c r="D14" s="20">
        <v>681</v>
      </c>
      <c r="E14" s="24">
        <v>14049</v>
      </c>
      <c r="F14" s="24">
        <v>14722</v>
      </c>
      <c r="G14" s="21">
        <v>673</v>
      </c>
      <c r="H14" s="27">
        <v>-8</v>
      </c>
      <c r="I14" s="27">
        <v>-11</v>
      </c>
      <c r="J14" s="19"/>
      <c r="K14" s="20">
        <v>669</v>
      </c>
      <c r="L14" s="21">
        <v>667</v>
      </c>
    </row>
    <row r="15" spans="1:12" ht="15" thickBot="1" x14ac:dyDescent="0.25">
      <c r="A15" s="22">
        <v>13</v>
      </c>
      <c r="B15" s="23">
        <v>15410</v>
      </c>
      <c r="C15" s="23">
        <v>15987</v>
      </c>
      <c r="D15" s="20">
        <v>577</v>
      </c>
      <c r="E15" s="24">
        <v>15376</v>
      </c>
      <c r="F15" s="24">
        <v>15980</v>
      </c>
      <c r="G15" s="21">
        <v>604</v>
      </c>
      <c r="H15" s="25">
        <v>27</v>
      </c>
      <c r="I15" s="25">
        <v>16</v>
      </c>
      <c r="J15" s="19"/>
      <c r="K15" s="20">
        <v>655</v>
      </c>
      <c r="L15" s="21">
        <v>654</v>
      </c>
    </row>
    <row r="16" spans="1:12" ht="15" thickBot="1" x14ac:dyDescent="0.25">
      <c r="A16" s="22">
        <v>14</v>
      </c>
      <c r="B16" s="23">
        <v>16642</v>
      </c>
      <c r="C16" s="23">
        <v>17212</v>
      </c>
      <c r="D16" s="20">
        <v>570</v>
      </c>
      <c r="E16" s="24">
        <v>16634</v>
      </c>
      <c r="F16" s="24">
        <v>17145</v>
      </c>
      <c r="G16" s="21">
        <v>511</v>
      </c>
      <c r="H16" s="27">
        <v>-59</v>
      </c>
      <c r="I16" s="27">
        <v>-43</v>
      </c>
      <c r="J16" s="19"/>
      <c r="K16" s="20">
        <v>655</v>
      </c>
      <c r="L16" s="21">
        <v>654</v>
      </c>
    </row>
    <row r="17" spans="1:12" ht="15" thickBot="1" x14ac:dyDescent="0.25">
      <c r="A17" s="22">
        <v>15</v>
      </c>
      <c r="B17" s="23">
        <v>17867</v>
      </c>
      <c r="C17" s="23">
        <v>18596</v>
      </c>
      <c r="D17" s="20">
        <v>729</v>
      </c>
      <c r="E17" s="24">
        <v>17798</v>
      </c>
      <c r="F17" s="24">
        <v>18538</v>
      </c>
      <c r="G17" s="21">
        <v>740</v>
      </c>
      <c r="H17" s="25">
        <v>11</v>
      </c>
      <c r="I17" s="27">
        <v>-32</v>
      </c>
      <c r="J17" s="19"/>
      <c r="K17" s="20">
        <v>655</v>
      </c>
      <c r="L17" s="21">
        <v>653</v>
      </c>
    </row>
    <row r="18" spans="1:12" ht="15" thickBot="1" x14ac:dyDescent="0.25">
      <c r="A18" s="22">
        <v>16</v>
      </c>
      <c r="B18" s="23">
        <v>19243</v>
      </c>
      <c r="C18" s="23">
        <v>19675</v>
      </c>
      <c r="D18" s="20">
        <v>432</v>
      </c>
      <c r="E18" s="24">
        <v>19185</v>
      </c>
      <c r="F18" s="24">
        <v>19565</v>
      </c>
      <c r="G18" s="21">
        <v>380</v>
      </c>
      <c r="H18" s="27">
        <v>-52</v>
      </c>
      <c r="I18" s="27">
        <v>-84</v>
      </c>
      <c r="J18" s="19"/>
      <c r="K18" s="20">
        <v>647</v>
      </c>
      <c r="L18" s="21">
        <v>647</v>
      </c>
    </row>
    <row r="19" spans="1:12" ht="15" thickBot="1" x14ac:dyDescent="0.25">
      <c r="A19" s="22">
        <v>17</v>
      </c>
      <c r="B19" s="23">
        <v>20331</v>
      </c>
      <c r="C19" s="23">
        <v>21333</v>
      </c>
      <c r="D19" s="20">
        <v>1002</v>
      </c>
      <c r="E19" s="24">
        <v>20218</v>
      </c>
      <c r="F19" s="24">
        <v>21079</v>
      </c>
      <c r="G19" s="21">
        <v>861</v>
      </c>
      <c r="H19" s="27">
        <v>-141</v>
      </c>
      <c r="I19" s="27">
        <v>-225</v>
      </c>
      <c r="J19" s="19"/>
      <c r="K19" s="20">
        <v>656</v>
      </c>
      <c r="L19" s="21">
        <v>653</v>
      </c>
    </row>
    <row r="20" spans="1:12" ht="15" thickBot="1" x14ac:dyDescent="0.25">
      <c r="A20" s="22">
        <v>18</v>
      </c>
      <c r="B20" s="23">
        <v>21986</v>
      </c>
      <c r="C20" s="23">
        <v>22927</v>
      </c>
      <c r="D20" s="20">
        <v>941</v>
      </c>
      <c r="E20" s="24">
        <v>21732</v>
      </c>
      <c r="F20" s="24">
        <v>22790</v>
      </c>
      <c r="G20" s="21">
        <v>1058</v>
      </c>
      <c r="H20" s="25">
        <v>117</v>
      </c>
      <c r="I20" s="27">
        <v>-108</v>
      </c>
      <c r="J20" s="19"/>
      <c r="K20" s="20">
        <v>653</v>
      </c>
      <c r="L20" s="21">
        <v>653</v>
      </c>
    </row>
    <row r="21" spans="1:12" ht="15" thickBot="1" x14ac:dyDescent="0.25">
      <c r="A21" s="22">
        <v>19</v>
      </c>
      <c r="B21" s="23">
        <v>23583</v>
      </c>
      <c r="C21" s="23">
        <v>23917</v>
      </c>
      <c r="D21" s="20">
        <v>334</v>
      </c>
      <c r="E21" s="24">
        <v>23443</v>
      </c>
      <c r="F21" s="24">
        <v>23790</v>
      </c>
      <c r="G21" s="21">
        <v>347</v>
      </c>
      <c r="H21" s="25">
        <v>13</v>
      </c>
      <c r="I21" s="27">
        <v>-95</v>
      </c>
      <c r="J21" s="19"/>
      <c r="K21" s="20">
        <v>656</v>
      </c>
      <c r="L21" s="21">
        <v>653</v>
      </c>
    </row>
    <row r="22" spans="1:12" ht="15" thickBot="1" x14ac:dyDescent="0.25">
      <c r="A22" s="22">
        <v>20</v>
      </c>
      <c r="B22" s="23">
        <v>24586</v>
      </c>
      <c r="C22" s="23">
        <v>25172</v>
      </c>
      <c r="D22" s="20">
        <v>586</v>
      </c>
      <c r="E22" s="24">
        <v>24443</v>
      </c>
      <c r="F22" s="24">
        <v>25018</v>
      </c>
      <c r="G22" s="21">
        <v>575</v>
      </c>
      <c r="H22" s="27">
        <v>-11</v>
      </c>
      <c r="I22" s="27">
        <v>-106</v>
      </c>
      <c r="J22" s="19"/>
      <c r="K22" s="20">
        <v>669</v>
      </c>
      <c r="L22" s="21">
        <v>653</v>
      </c>
    </row>
    <row r="23" spans="1:12" ht="15" thickBot="1" x14ac:dyDescent="0.25">
      <c r="A23" s="22">
        <v>21</v>
      </c>
      <c r="B23" s="23">
        <v>25841</v>
      </c>
      <c r="C23" s="23">
        <v>26711</v>
      </c>
      <c r="D23" s="20">
        <v>870</v>
      </c>
      <c r="E23" s="24">
        <v>25685</v>
      </c>
      <c r="F23" s="24">
        <v>26521</v>
      </c>
      <c r="G23" s="21">
        <v>836</v>
      </c>
      <c r="H23" s="27">
        <v>-34</v>
      </c>
      <c r="I23" s="27">
        <v>-140</v>
      </c>
      <c r="J23" s="19"/>
      <c r="K23" s="20">
        <v>669</v>
      </c>
      <c r="L23" s="21">
        <v>667</v>
      </c>
    </row>
    <row r="24" spans="1:12" ht="15" thickBot="1" x14ac:dyDescent="0.25">
      <c r="A24" s="22">
        <v>22</v>
      </c>
      <c r="B24" s="23">
        <v>27378</v>
      </c>
      <c r="C24" s="23">
        <v>28023</v>
      </c>
      <c r="D24" s="20">
        <v>645</v>
      </c>
      <c r="E24" s="24">
        <v>27188</v>
      </c>
      <c r="F24" s="24">
        <v>27743</v>
      </c>
      <c r="G24" s="21">
        <v>555</v>
      </c>
      <c r="H24" s="27">
        <v>-90</v>
      </c>
      <c r="I24" s="27">
        <v>-230</v>
      </c>
      <c r="J24" s="19"/>
      <c r="K24" s="20">
        <v>667</v>
      </c>
      <c r="L24" s="21">
        <v>667</v>
      </c>
    </row>
    <row r="25" spans="1:12" ht="15" thickBot="1" x14ac:dyDescent="0.25">
      <c r="A25" s="22">
        <v>23</v>
      </c>
      <c r="B25" s="23">
        <v>28676</v>
      </c>
      <c r="C25" s="23">
        <v>29882</v>
      </c>
      <c r="D25" s="20">
        <v>1206</v>
      </c>
      <c r="E25" s="24">
        <v>28396</v>
      </c>
      <c r="F25" s="24">
        <v>29425</v>
      </c>
      <c r="G25" s="21">
        <v>1029</v>
      </c>
      <c r="H25" s="27">
        <v>-177</v>
      </c>
      <c r="I25" s="27">
        <v>-407</v>
      </c>
      <c r="J25" s="19"/>
      <c r="K25" s="20">
        <v>653</v>
      </c>
      <c r="L25" s="21">
        <v>653</v>
      </c>
    </row>
    <row r="26" spans="1:12" ht="15" thickBot="1" x14ac:dyDescent="0.25">
      <c r="A26" s="22">
        <v>24</v>
      </c>
      <c r="B26" s="23">
        <v>30384</v>
      </c>
      <c r="C26" s="23">
        <v>30804</v>
      </c>
      <c r="D26" s="20">
        <v>420</v>
      </c>
      <c r="E26" s="24">
        <v>29932</v>
      </c>
      <c r="F26" s="24">
        <v>30415</v>
      </c>
      <c r="G26" s="21">
        <v>483</v>
      </c>
      <c r="H26" s="25">
        <v>63</v>
      </c>
      <c r="I26" s="27">
        <v>-344</v>
      </c>
      <c r="J26" s="19"/>
      <c r="K26" s="20">
        <v>502</v>
      </c>
      <c r="L26" s="21">
        <v>507</v>
      </c>
    </row>
    <row r="27" spans="1:12" ht="15" thickBot="1" x14ac:dyDescent="0.25">
      <c r="A27" s="22">
        <v>25</v>
      </c>
      <c r="B27" s="23">
        <v>31452</v>
      </c>
      <c r="C27" s="23">
        <v>32001</v>
      </c>
      <c r="D27" s="20">
        <v>549</v>
      </c>
      <c r="E27" s="24">
        <v>31061</v>
      </c>
      <c r="F27" s="24">
        <v>31620</v>
      </c>
      <c r="G27" s="21">
        <v>559</v>
      </c>
      <c r="H27" s="25">
        <v>10</v>
      </c>
      <c r="I27" s="27">
        <v>-334</v>
      </c>
      <c r="J27" s="19"/>
      <c r="K27" s="20">
        <v>648</v>
      </c>
      <c r="L27" s="21">
        <v>646</v>
      </c>
    </row>
    <row r="28" spans="1:12" ht="15" thickBot="1" x14ac:dyDescent="0.25">
      <c r="A28" s="22">
        <v>26</v>
      </c>
      <c r="B28" s="23">
        <v>32656</v>
      </c>
      <c r="C28" s="23">
        <v>33568</v>
      </c>
      <c r="D28" s="20">
        <v>912</v>
      </c>
      <c r="E28" s="24">
        <v>32273</v>
      </c>
      <c r="F28" s="24">
        <v>33179</v>
      </c>
      <c r="G28" s="21">
        <v>906</v>
      </c>
      <c r="H28" s="27">
        <v>-6</v>
      </c>
      <c r="I28" s="27">
        <v>-340</v>
      </c>
      <c r="J28" s="19"/>
      <c r="K28" s="20">
        <v>655</v>
      </c>
      <c r="L28" s="21">
        <v>653</v>
      </c>
    </row>
    <row r="29" spans="1:12" ht="15" thickBot="1" x14ac:dyDescent="0.25">
      <c r="A29" s="22">
        <v>27</v>
      </c>
      <c r="B29" s="23">
        <v>34237</v>
      </c>
      <c r="C29" s="23">
        <v>35333</v>
      </c>
      <c r="D29" s="20">
        <v>1096</v>
      </c>
      <c r="E29" s="24">
        <v>33846</v>
      </c>
      <c r="F29" s="24">
        <v>34884</v>
      </c>
      <c r="G29" s="21">
        <v>1038</v>
      </c>
      <c r="H29" s="27">
        <v>-58</v>
      </c>
      <c r="I29" s="27">
        <v>-398</v>
      </c>
      <c r="J29" s="19"/>
      <c r="K29" s="20">
        <v>669</v>
      </c>
      <c r="L29" s="21">
        <v>667</v>
      </c>
    </row>
    <row r="30" spans="1:12" ht="15" thickBot="1" x14ac:dyDescent="0.25">
      <c r="A30" s="22">
        <v>28</v>
      </c>
      <c r="B30" s="23">
        <v>35988</v>
      </c>
      <c r="C30" s="23">
        <v>36854</v>
      </c>
      <c r="D30" s="20">
        <v>866</v>
      </c>
      <c r="E30" s="24">
        <v>35551</v>
      </c>
      <c r="F30" s="24">
        <v>36358</v>
      </c>
      <c r="G30" s="21">
        <v>807</v>
      </c>
      <c r="H30" s="27">
        <v>-59</v>
      </c>
      <c r="I30" s="27">
        <v>-457</v>
      </c>
      <c r="J30" s="19"/>
      <c r="K30" s="20">
        <v>655</v>
      </c>
      <c r="L30" s="21">
        <v>667</v>
      </c>
    </row>
    <row r="31" spans="1:12" ht="15" thickBot="1" x14ac:dyDescent="0.25">
      <c r="A31" s="22">
        <v>29</v>
      </c>
      <c r="B31" s="23">
        <v>37462</v>
      </c>
      <c r="C31" s="23">
        <v>38557</v>
      </c>
      <c r="D31" s="20">
        <v>1095</v>
      </c>
      <c r="E31" s="24">
        <v>36978</v>
      </c>
      <c r="F31" s="24">
        <v>38066</v>
      </c>
      <c r="G31" s="21">
        <v>1088</v>
      </c>
      <c r="H31" s="27">
        <v>-7</v>
      </c>
      <c r="I31" s="27">
        <v>-464</v>
      </c>
      <c r="J31" s="19"/>
      <c r="K31" s="20">
        <v>608</v>
      </c>
      <c r="L31" s="21">
        <v>620</v>
      </c>
    </row>
    <row r="32" spans="1:12" ht="15" thickBot="1" x14ac:dyDescent="0.25">
      <c r="A32" s="22">
        <v>30</v>
      </c>
      <c r="B32" s="23">
        <v>39059</v>
      </c>
      <c r="C32" s="23">
        <v>39773</v>
      </c>
      <c r="D32" s="20">
        <v>714</v>
      </c>
      <c r="E32" s="24">
        <v>38573</v>
      </c>
      <c r="F32" s="24">
        <v>39441</v>
      </c>
      <c r="G32" s="21">
        <v>868</v>
      </c>
      <c r="H32" s="25">
        <v>154</v>
      </c>
      <c r="I32" s="27">
        <v>-310</v>
      </c>
      <c r="J32" s="19"/>
      <c r="K32" s="20">
        <v>502</v>
      </c>
      <c r="L32" s="21">
        <v>507</v>
      </c>
    </row>
    <row r="33" spans="1:12" ht="15" thickBot="1" x14ac:dyDescent="0.25">
      <c r="A33" s="22">
        <v>31</v>
      </c>
      <c r="B33" s="23">
        <v>40407</v>
      </c>
      <c r="C33" s="23">
        <v>40581</v>
      </c>
      <c r="D33" s="20">
        <v>174</v>
      </c>
      <c r="E33" s="24">
        <v>40073</v>
      </c>
      <c r="F33" s="24">
        <v>40249</v>
      </c>
      <c r="G33" s="21">
        <v>176</v>
      </c>
      <c r="H33" s="25">
        <v>2</v>
      </c>
      <c r="I33" s="27">
        <v>-308</v>
      </c>
      <c r="J33" s="19"/>
      <c r="K33" s="20">
        <v>634</v>
      </c>
      <c r="L33" s="21">
        <v>632</v>
      </c>
    </row>
    <row r="34" spans="1:12" ht="15" thickBot="1" x14ac:dyDescent="0.25">
      <c r="A34" s="22">
        <v>32</v>
      </c>
      <c r="B34" s="23">
        <v>41229</v>
      </c>
      <c r="C34" s="23">
        <v>41859</v>
      </c>
      <c r="D34" s="20">
        <v>630</v>
      </c>
      <c r="E34" s="24">
        <v>40895</v>
      </c>
      <c r="F34" s="24">
        <v>41433</v>
      </c>
      <c r="G34" s="21">
        <v>538</v>
      </c>
      <c r="H34" s="27">
        <v>-92</v>
      </c>
      <c r="I34" s="27">
        <v>-400</v>
      </c>
      <c r="J34" s="19"/>
      <c r="K34" s="20">
        <v>648</v>
      </c>
      <c r="L34" s="21">
        <v>646</v>
      </c>
    </row>
    <row r="35" spans="1:12" ht="15" thickBot="1" x14ac:dyDescent="0.25">
      <c r="A35" s="22">
        <v>33</v>
      </c>
      <c r="B35" s="23">
        <v>42515</v>
      </c>
      <c r="C35" s="23">
        <v>43103</v>
      </c>
      <c r="D35" s="20">
        <v>588</v>
      </c>
      <c r="E35" s="24">
        <v>42086</v>
      </c>
      <c r="F35" s="24">
        <v>42750</v>
      </c>
      <c r="G35" s="21">
        <v>664</v>
      </c>
      <c r="H35" s="27">
        <v>76</v>
      </c>
      <c r="I35" s="27">
        <v>-324</v>
      </c>
      <c r="J35" s="19"/>
      <c r="K35" s="20">
        <v>656</v>
      </c>
      <c r="L35" s="21">
        <v>653</v>
      </c>
    </row>
    <row r="36" spans="1:12" ht="15" thickBot="1" x14ac:dyDescent="0.25">
      <c r="A36" s="22">
        <v>34</v>
      </c>
      <c r="B36" s="23">
        <v>43758</v>
      </c>
      <c r="C36" s="23">
        <v>44412</v>
      </c>
      <c r="D36" s="20">
        <v>654</v>
      </c>
      <c r="E36" s="24">
        <v>43403</v>
      </c>
      <c r="F36" s="24">
        <v>44054</v>
      </c>
      <c r="G36" s="21">
        <v>651</v>
      </c>
      <c r="H36" s="27">
        <v>-3</v>
      </c>
      <c r="I36" s="27">
        <v>-327</v>
      </c>
      <c r="J36" s="19"/>
      <c r="K36" s="20">
        <v>655</v>
      </c>
      <c r="L36" s="21">
        <v>653</v>
      </c>
    </row>
    <row r="37" spans="1:12" ht="15" thickBot="1" x14ac:dyDescent="0.25">
      <c r="A37" s="22">
        <v>35</v>
      </c>
      <c r="B37" s="23">
        <v>45080</v>
      </c>
      <c r="C37" s="23">
        <v>45717</v>
      </c>
      <c r="D37" s="20">
        <v>637</v>
      </c>
      <c r="E37" s="24">
        <v>44721</v>
      </c>
      <c r="F37" s="24">
        <v>45356</v>
      </c>
      <c r="G37" s="21">
        <v>635</v>
      </c>
      <c r="H37" s="27">
        <v>-2</v>
      </c>
      <c r="I37" s="27">
        <v>-329</v>
      </c>
      <c r="J37" s="19"/>
      <c r="K37" s="20">
        <v>668</v>
      </c>
      <c r="L37" s="21">
        <v>667</v>
      </c>
    </row>
    <row r="38" spans="1:12" ht="15" thickBot="1" x14ac:dyDescent="0.25">
      <c r="A38" s="22">
        <v>36</v>
      </c>
      <c r="B38" s="23">
        <v>46385</v>
      </c>
      <c r="C38" s="23">
        <v>46976</v>
      </c>
      <c r="D38" s="20">
        <v>591</v>
      </c>
      <c r="E38" s="24">
        <v>46023</v>
      </c>
      <c r="F38" s="24">
        <v>46672</v>
      </c>
      <c r="G38" s="21">
        <v>649</v>
      </c>
      <c r="H38" s="25">
        <v>58</v>
      </c>
      <c r="I38" s="27">
        <v>-271</v>
      </c>
      <c r="J38" s="19"/>
      <c r="K38" s="20">
        <v>668</v>
      </c>
      <c r="L38" s="21">
        <v>667</v>
      </c>
    </row>
    <row r="39" spans="1:12" ht="15" thickBot="1" x14ac:dyDescent="0.25">
      <c r="A39" s="22">
        <v>37</v>
      </c>
      <c r="B39" s="23">
        <v>47630</v>
      </c>
      <c r="C39" s="23">
        <v>48403</v>
      </c>
      <c r="D39" s="20">
        <v>773</v>
      </c>
      <c r="E39" s="24">
        <v>47339</v>
      </c>
      <c r="F39" s="24">
        <v>48114</v>
      </c>
      <c r="G39" s="21">
        <v>775</v>
      </c>
      <c r="H39" s="25">
        <v>2</v>
      </c>
      <c r="I39" s="27">
        <v>-269</v>
      </c>
      <c r="J39" s="19"/>
      <c r="K39" s="20">
        <v>654</v>
      </c>
      <c r="L39" s="21">
        <v>667</v>
      </c>
    </row>
    <row r="40" spans="1:12" ht="15" thickBot="1" x14ac:dyDescent="0.25">
      <c r="A40" s="22">
        <v>38</v>
      </c>
      <c r="B40" s="23">
        <v>48910</v>
      </c>
      <c r="C40" s="23">
        <v>49849</v>
      </c>
      <c r="D40" s="20">
        <v>939</v>
      </c>
      <c r="E40" s="24">
        <v>48621</v>
      </c>
      <c r="F40" s="24">
        <v>49495</v>
      </c>
      <c r="G40" s="21">
        <v>874</v>
      </c>
      <c r="H40" s="27">
        <v>-65</v>
      </c>
      <c r="I40" s="27">
        <v>-334</v>
      </c>
      <c r="J40" s="19"/>
      <c r="K40" s="20">
        <v>507</v>
      </c>
      <c r="L40" s="21">
        <v>507</v>
      </c>
    </row>
    <row r="41" spans="1:12" ht="15" thickBot="1" x14ac:dyDescent="0.25">
      <c r="A41" s="22">
        <v>39</v>
      </c>
      <c r="B41" s="23">
        <v>50518</v>
      </c>
      <c r="C41" s="23">
        <v>50867</v>
      </c>
      <c r="D41" s="20">
        <v>349</v>
      </c>
      <c r="E41" s="24">
        <v>50149</v>
      </c>
      <c r="F41" s="24">
        <v>50410</v>
      </c>
      <c r="G41" s="21">
        <v>261</v>
      </c>
      <c r="H41" s="27">
        <v>-88</v>
      </c>
      <c r="I41" s="27">
        <v>-422</v>
      </c>
      <c r="J41" s="19"/>
      <c r="K41" s="20">
        <v>669</v>
      </c>
      <c r="L41" s="21">
        <v>654</v>
      </c>
    </row>
    <row r="42" spans="1:12" ht="15" thickBot="1" x14ac:dyDescent="0.25">
      <c r="A42" s="22">
        <v>40</v>
      </c>
      <c r="B42" s="23">
        <v>51487</v>
      </c>
      <c r="C42" s="23">
        <v>52501</v>
      </c>
      <c r="D42" s="20">
        <v>1014</v>
      </c>
      <c r="E42" s="24">
        <v>51017</v>
      </c>
      <c r="F42" s="24">
        <v>52000</v>
      </c>
      <c r="G42" s="21">
        <v>983</v>
      </c>
      <c r="H42" s="27">
        <v>-31</v>
      </c>
      <c r="I42" s="27">
        <v>-453</v>
      </c>
      <c r="J42" s="19"/>
      <c r="K42" s="20">
        <v>620</v>
      </c>
      <c r="L42" s="21">
        <v>607</v>
      </c>
    </row>
    <row r="43" spans="1:12" ht="15" thickBot="1" x14ac:dyDescent="0.25">
      <c r="A43" s="22">
        <v>41</v>
      </c>
      <c r="B43" s="23">
        <v>53154</v>
      </c>
      <c r="C43" s="23">
        <v>53935</v>
      </c>
      <c r="D43" s="20">
        <v>781</v>
      </c>
      <c r="E43" s="24">
        <v>52668</v>
      </c>
      <c r="F43" s="24">
        <v>53466</v>
      </c>
      <c r="G43" s="21">
        <v>798</v>
      </c>
      <c r="H43" s="25">
        <v>17</v>
      </c>
      <c r="I43" s="27">
        <v>-436</v>
      </c>
      <c r="J43" s="19"/>
      <c r="K43" s="20">
        <v>653</v>
      </c>
      <c r="L43" s="21">
        <v>668</v>
      </c>
    </row>
    <row r="44" spans="1:12" ht="15" thickBot="1" x14ac:dyDescent="0.25">
      <c r="A44" s="22">
        <v>42</v>
      </c>
      <c r="B44" s="23">
        <v>54565</v>
      </c>
      <c r="C44" s="23">
        <v>55589</v>
      </c>
      <c r="D44" s="20">
        <v>1024</v>
      </c>
      <c r="E44" s="24">
        <v>54096</v>
      </c>
      <c r="F44" s="24">
        <v>55101</v>
      </c>
      <c r="G44" s="21">
        <v>1005</v>
      </c>
      <c r="H44" s="27">
        <v>-19</v>
      </c>
      <c r="I44" s="27">
        <v>-455</v>
      </c>
      <c r="J44" s="19"/>
      <c r="K44" s="20">
        <v>630</v>
      </c>
      <c r="L44" s="21">
        <v>630</v>
      </c>
    </row>
    <row r="45" spans="1:12" ht="15" thickBot="1" x14ac:dyDescent="0.25">
      <c r="A45" s="22">
        <v>43</v>
      </c>
      <c r="B45" s="23">
        <v>56186</v>
      </c>
      <c r="C45" s="23">
        <v>56565</v>
      </c>
      <c r="D45" s="20">
        <v>379</v>
      </c>
      <c r="E45" s="24">
        <v>55709</v>
      </c>
      <c r="F45" s="24">
        <v>56097</v>
      </c>
      <c r="G45" s="21">
        <v>388</v>
      </c>
      <c r="H45" s="25">
        <v>9</v>
      </c>
      <c r="I45" s="27">
        <v>-446</v>
      </c>
      <c r="J45" s="19"/>
      <c r="K45" s="20">
        <v>597</v>
      </c>
      <c r="L45" s="21">
        <v>608</v>
      </c>
    </row>
    <row r="46" spans="1:12" ht="15" thickBot="1" x14ac:dyDescent="0.25">
      <c r="A46" s="22">
        <v>44</v>
      </c>
      <c r="B46" s="23">
        <v>57218</v>
      </c>
      <c r="C46" s="23">
        <v>58000</v>
      </c>
      <c r="D46" s="20">
        <v>782</v>
      </c>
      <c r="E46" s="24">
        <v>56750</v>
      </c>
      <c r="F46" s="24">
        <v>57443</v>
      </c>
      <c r="G46" s="21">
        <v>693</v>
      </c>
      <c r="H46" s="27">
        <v>-89</v>
      </c>
      <c r="I46" s="27">
        <v>-535</v>
      </c>
      <c r="J46" s="19"/>
      <c r="K46" s="20">
        <v>653</v>
      </c>
      <c r="L46" s="21">
        <v>653</v>
      </c>
    </row>
    <row r="47" spans="1:12" ht="15" thickBot="1" x14ac:dyDescent="0.25">
      <c r="A47" s="22">
        <v>45</v>
      </c>
      <c r="B47" s="23">
        <v>58609</v>
      </c>
      <c r="C47" s="23">
        <v>59184</v>
      </c>
      <c r="D47" s="20">
        <v>575</v>
      </c>
      <c r="E47" s="24">
        <v>58051</v>
      </c>
      <c r="F47" s="24">
        <v>58605</v>
      </c>
      <c r="G47" s="21">
        <v>554</v>
      </c>
      <c r="H47" s="27">
        <v>-21</v>
      </c>
      <c r="I47" s="27">
        <v>-556</v>
      </c>
      <c r="J47" s="19"/>
      <c r="K47" s="20">
        <v>609</v>
      </c>
      <c r="L47" s="21">
        <v>608</v>
      </c>
    </row>
    <row r="48" spans="1:12" ht="15" thickBot="1" x14ac:dyDescent="0.25">
      <c r="A48" s="22">
        <v>46</v>
      </c>
      <c r="B48" s="23">
        <v>59829</v>
      </c>
      <c r="C48" s="23">
        <v>60434</v>
      </c>
      <c r="D48" s="20">
        <v>605</v>
      </c>
      <c r="E48" s="24">
        <v>59248</v>
      </c>
      <c r="F48" s="24">
        <v>59831</v>
      </c>
      <c r="G48" s="21">
        <v>583</v>
      </c>
      <c r="H48" s="27">
        <v>-22</v>
      </c>
      <c r="I48" s="27">
        <v>-578</v>
      </c>
      <c r="J48" s="19"/>
      <c r="K48" s="20">
        <v>645</v>
      </c>
      <c r="L48" s="21">
        <v>643</v>
      </c>
    </row>
    <row r="49" spans="1:12" ht="15" thickBot="1" x14ac:dyDescent="0.25">
      <c r="A49" s="22">
        <v>47</v>
      </c>
      <c r="B49" s="23">
        <v>61095</v>
      </c>
      <c r="C49" s="23">
        <v>61907</v>
      </c>
      <c r="D49" s="20">
        <v>812</v>
      </c>
      <c r="E49" s="24">
        <v>60491</v>
      </c>
      <c r="F49" s="24">
        <v>61288</v>
      </c>
      <c r="G49" s="21">
        <v>797</v>
      </c>
      <c r="H49" s="27">
        <v>-15</v>
      </c>
      <c r="I49" s="27">
        <v>-593</v>
      </c>
      <c r="J49" s="19"/>
      <c r="K49" s="20">
        <v>661</v>
      </c>
      <c r="L49" s="21">
        <v>660</v>
      </c>
    </row>
    <row r="50" spans="1:12" ht="15" thickBot="1" x14ac:dyDescent="0.25">
      <c r="A50" s="22">
        <v>48</v>
      </c>
      <c r="B50" s="23">
        <v>62577</v>
      </c>
      <c r="C50" s="23">
        <v>63173</v>
      </c>
      <c r="D50" s="20">
        <v>596</v>
      </c>
      <c r="E50" s="24">
        <v>61941</v>
      </c>
      <c r="F50" s="24">
        <v>62506</v>
      </c>
      <c r="G50" s="21">
        <v>565</v>
      </c>
      <c r="H50" s="27">
        <v>-31</v>
      </c>
      <c r="I50" s="27">
        <v>-624</v>
      </c>
      <c r="J50" s="19"/>
      <c r="K50" s="20">
        <v>670</v>
      </c>
      <c r="L50" s="21">
        <v>653</v>
      </c>
    </row>
    <row r="51" spans="1:12" ht="15" thickBot="1" x14ac:dyDescent="0.25">
      <c r="A51" s="22">
        <v>49</v>
      </c>
      <c r="B51" s="23">
        <v>63826</v>
      </c>
      <c r="C51" s="23">
        <v>64578</v>
      </c>
      <c r="D51" s="20">
        <v>752</v>
      </c>
      <c r="E51" s="24">
        <v>63173</v>
      </c>
      <c r="F51" s="24">
        <v>63888</v>
      </c>
      <c r="G51" s="21">
        <v>715</v>
      </c>
      <c r="H51" s="27">
        <v>-37</v>
      </c>
      <c r="I51" s="27">
        <v>-661</v>
      </c>
      <c r="J51" s="19"/>
      <c r="K51" s="20">
        <v>653</v>
      </c>
      <c r="L51" s="21">
        <v>667</v>
      </c>
    </row>
    <row r="52" spans="1:12" ht="15" thickBot="1" x14ac:dyDescent="0.25">
      <c r="A52" s="22">
        <v>50</v>
      </c>
      <c r="B52" s="28">
        <v>65232</v>
      </c>
      <c r="C52" s="28">
        <v>65820</v>
      </c>
      <c r="D52" s="25">
        <v>588</v>
      </c>
      <c r="E52" s="29">
        <v>64542</v>
      </c>
      <c r="F52" s="29">
        <v>65085</v>
      </c>
      <c r="G52" s="27">
        <v>543</v>
      </c>
      <c r="H52" s="27">
        <v>-45</v>
      </c>
      <c r="I52" s="27">
        <v>-706</v>
      </c>
      <c r="J52" s="30"/>
      <c r="K52" s="25">
        <v>654</v>
      </c>
      <c r="L52" s="27">
        <v>654</v>
      </c>
    </row>
    <row r="53" spans="1:12" ht="15" thickBot="1" x14ac:dyDescent="0.25">
      <c r="A53" s="11"/>
      <c r="B53" s="26"/>
      <c r="C53" s="16" t="s">
        <v>164</v>
      </c>
      <c r="D53" s="16" t="s">
        <v>158</v>
      </c>
      <c r="E53" s="31"/>
      <c r="F53" s="17" t="s">
        <v>164</v>
      </c>
      <c r="G53" s="17" t="s">
        <v>158</v>
      </c>
      <c r="H53" s="56" t="s">
        <v>165</v>
      </c>
      <c r="I53" s="57"/>
      <c r="J53" s="57"/>
      <c r="K53" s="57"/>
      <c r="L53" s="58"/>
    </row>
    <row r="54" spans="1:12" ht="26.25" thickBot="1" x14ac:dyDescent="0.25">
      <c r="A54" s="11"/>
      <c r="B54" s="32" t="s">
        <v>166</v>
      </c>
      <c r="C54" s="26">
        <v>33518</v>
      </c>
      <c r="D54" s="25">
        <v>31566</v>
      </c>
      <c r="E54" s="17" t="s">
        <v>166</v>
      </c>
      <c r="F54" s="27">
        <v>32812</v>
      </c>
      <c r="G54" s="27">
        <v>31536</v>
      </c>
      <c r="H54" s="59"/>
      <c r="I54" s="60"/>
      <c r="J54" s="60"/>
      <c r="K54" s="60"/>
      <c r="L54" s="61"/>
    </row>
  </sheetData>
  <mergeCells count="2">
    <mergeCell ref="K1:L1"/>
    <mergeCell ref="H53:L54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19343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V7</vt:lpstr>
      <vt:lpstr>V6</vt:lpstr>
      <vt:lpstr>V5</vt:lpstr>
      <vt:lpstr>V4</vt:lpstr>
      <vt:lpstr>V3</vt:lpstr>
      <vt:lpstr>V2</vt:lpstr>
      <vt:lpstr>Takanawa Comparison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 d</dc:creator>
  <cp:lastModifiedBy>Andrew Delikat</cp:lastModifiedBy>
  <cp:revision>217</cp:revision>
  <dcterms:created xsi:type="dcterms:W3CDTF">2017-08-26T17:15:22Z</dcterms:created>
  <dcterms:modified xsi:type="dcterms:W3CDTF">2026-04-30T17:52:23Z</dcterms:modified>
</cp:coreProperties>
</file>